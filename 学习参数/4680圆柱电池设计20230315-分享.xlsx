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巫湘坤数据\15# 2023年工作\BaiduSyncdisk\锂电技术2023年\2023年锂电技术文章\20230312特斯拉4680拆解直播\"/>
    </mc:Choice>
  </mc:AlternateContent>
  <bookViews>
    <workbookView xWindow="-120" yWindow="-120" windowWidth="29040" windowHeight="15840"/>
  </bookViews>
  <sheets>
    <sheet name="试验电池设计 (20220407)" sheetId="26" r:id="rId1"/>
  </sheets>
  <definedNames>
    <definedName name="试验内容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5" i="26" l="1"/>
  <c r="E187" i="26" l="1"/>
  <c r="E189" i="26"/>
  <c r="E138" i="26" s="1"/>
  <c r="E114" i="26" s="1"/>
  <c r="E70" i="26" s="1"/>
  <c r="E40" i="26" s="1"/>
  <c r="E190" i="26" l="1"/>
  <c r="E171" i="26"/>
  <c r="E166" i="26"/>
  <c r="E167" i="26" s="1"/>
  <c r="E164" i="26"/>
  <c r="E163" i="26" s="1"/>
  <c r="E162" i="26"/>
  <c r="E161" i="26"/>
  <c r="E192" i="26" s="1"/>
  <c r="E147" i="26"/>
  <c r="E124" i="26"/>
  <c r="E92" i="26"/>
  <c r="E86" i="26"/>
  <c r="E85" i="26"/>
  <c r="E83" i="26"/>
  <c r="E58" i="26"/>
  <c r="E52" i="26"/>
  <c r="E51" i="26"/>
  <c r="E49" i="26"/>
  <c r="E47" i="26" s="1"/>
  <c r="E80" i="26"/>
  <c r="E6" i="26"/>
  <c r="E8" i="26" s="1"/>
  <c r="E55" i="26" l="1"/>
  <c r="E145" i="26" s="1"/>
  <c r="E182" i="26"/>
  <c r="E22" i="26"/>
  <c r="E26" i="26" s="1"/>
  <c r="E27" i="26"/>
  <c r="E174" i="26"/>
  <c r="E177" i="26" s="1"/>
  <c r="E141" i="26"/>
  <c r="E142" i="26" s="1"/>
  <c r="E211" i="26"/>
  <c r="E89" i="26"/>
  <c r="E137" i="26" s="1"/>
  <c r="E79" i="26"/>
  <c r="E82" i="26"/>
  <c r="E81" i="26" s="1"/>
  <c r="E54" i="26" l="1"/>
  <c r="E146" i="26"/>
  <c r="E88" i="26"/>
  <c r="E131" i="26"/>
  <c r="F137" i="26"/>
  <c r="E122" i="26" l="1"/>
  <c r="E132" i="26"/>
  <c r="E139" i="26"/>
  <c r="E140" i="26" s="1"/>
  <c r="E126" i="26" l="1"/>
  <c r="E135" i="26" s="1"/>
  <c r="E127" i="26"/>
  <c r="E128" i="26"/>
  <c r="E133" i="26" l="1"/>
  <c r="E134" i="26" s="1"/>
  <c r="E129" i="26"/>
  <c r="E41" i="26" s="1"/>
  <c r="E74" i="26" l="1"/>
  <c r="E71" i="26" s="1"/>
  <c r="E130" i="26"/>
  <c r="E117" i="26" s="1"/>
  <c r="E44" i="26"/>
  <c r="E45" i="26" s="1"/>
  <c r="E65" i="26" s="1"/>
  <c r="E76" i="26" l="1"/>
  <c r="E101" i="26" s="1"/>
  <c r="E66" i="26"/>
  <c r="E67" i="26" s="1"/>
  <c r="E77" i="26"/>
  <c r="E93" i="26" s="1"/>
  <c r="E46" i="26"/>
  <c r="E120" i="26"/>
  <c r="E119" i="26"/>
  <c r="E102" i="26" l="1"/>
  <c r="E103" i="26" s="1"/>
  <c r="E59" i="26"/>
  <c r="E136" i="26"/>
  <c r="E96" i="26"/>
  <c r="E104" i="26"/>
  <c r="E105" i="26" s="1"/>
  <c r="E99" i="26"/>
  <c r="E94" i="26"/>
  <c r="E95" i="26"/>
  <c r="E98" i="26"/>
  <c r="E97" i="26"/>
  <c r="E108" i="26"/>
  <c r="E110" i="26" s="1"/>
  <c r="E206" i="26" l="1"/>
  <c r="E208" i="26"/>
  <c r="E209" i="26"/>
  <c r="E62" i="26"/>
  <c r="E61" i="26"/>
  <c r="E152" i="26"/>
  <c r="E60" i="26"/>
  <c r="E68" i="26"/>
  <c r="E63" i="26"/>
  <c r="E151" i="26" l="1"/>
  <c r="E69" i="26"/>
  <c r="E148" i="26" s="1"/>
  <c r="E203" i="26"/>
  <c r="E210" i="26" s="1"/>
  <c r="E202" i="26"/>
  <c r="E150" i="26" l="1"/>
  <c r="E153" i="26"/>
  <c r="E155" i="26" s="1"/>
  <c r="E156" i="26" s="1"/>
  <c r="E191" i="26" s="1"/>
  <c r="E205" i="26"/>
  <c r="E207" i="26" s="1"/>
  <c r="E204" i="26"/>
  <c r="E4" i="26" s="1"/>
  <c r="E9" i="26" s="1"/>
  <c r="E25" i="26" l="1"/>
  <c r="E196" i="26"/>
  <c r="E194" i="26" s="1"/>
  <c r="E197" i="26" l="1"/>
  <c r="E198" i="26" l="1"/>
  <c r="E199" i="26"/>
</calcChain>
</file>

<file path=xl/sharedStrings.xml><?xml version="1.0" encoding="utf-8"?>
<sst xmlns="http://schemas.openxmlformats.org/spreadsheetml/2006/main" count="431" uniqueCount="272">
  <si>
    <t>mAh/g</t>
  </si>
  <si>
    <t>%</t>
  </si>
  <si>
    <t>g/cc</t>
  </si>
  <si>
    <t>LiMO2</t>
  </si>
  <si>
    <t>SP</t>
  </si>
  <si>
    <t>CNTS</t>
  </si>
  <si>
    <t>-</t>
  </si>
  <si>
    <t>CMC</t>
  </si>
  <si>
    <t>PAA</t>
  </si>
  <si>
    <t>SBR</t>
  </si>
  <si>
    <t>mm</t>
  </si>
  <si>
    <t>mg/cm2</t>
  </si>
  <si>
    <t>um</t>
  </si>
  <si>
    <t>mm2</t>
  </si>
  <si>
    <t>g</t>
  </si>
  <si>
    <t>cc</t>
  </si>
  <si>
    <t>cc/Ah</t>
  </si>
  <si>
    <t>Ah</t>
  </si>
  <si>
    <t>Wh</t>
  </si>
  <si>
    <t>Wh/kg</t>
  </si>
  <si>
    <t>Wh/L</t>
  </si>
  <si>
    <t>PVdF</t>
    <phoneticPr fontId="26" type="noConversion"/>
  </si>
  <si>
    <t>Graphite/Si</t>
    <phoneticPr fontId="26" type="noConversion"/>
  </si>
  <si>
    <t>mm</t>
    <phoneticPr fontId="26" type="noConversion"/>
  </si>
  <si>
    <t>g</t>
    <phoneticPr fontId="26" type="noConversion"/>
  </si>
  <si>
    <t>mg/cm2</t>
    <phoneticPr fontId="26" type="noConversion"/>
  </si>
  <si>
    <t>mm</t>
    <phoneticPr fontId="26" type="noConversion"/>
  </si>
  <si>
    <r>
      <rPr>
        <b/>
        <sz val="28"/>
        <rFont val="宋体"/>
        <family val="3"/>
        <charset val="134"/>
      </rPr>
      <t>电池设计一览表</t>
    </r>
  </si>
  <si>
    <r>
      <rPr>
        <b/>
        <sz val="12"/>
        <color rgb="FF000000"/>
        <rFont val="宋体"/>
        <family val="3"/>
        <charset val="134"/>
      </rPr>
      <t>■正极材料</t>
    </r>
  </si>
  <si>
    <r>
      <rPr>
        <sz val="11"/>
        <color indexed="8"/>
        <rFont val="宋体"/>
        <family val="3"/>
        <charset val="134"/>
      </rPr>
      <t>正极活物质</t>
    </r>
  </si>
  <si>
    <r>
      <rPr>
        <sz val="11"/>
        <color indexed="8"/>
        <rFont val="宋体"/>
        <family val="3"/>
        <charset val="134"/>
      </rPr>
      <t>种类</t>
    </r>
  </si>
  <si>
    <r>
      <rPr>
        <sz val="11"/>
        <color rgb="FF000000"/>
        <rFont val="宋体"/>
        <family val="3"/>
        <charset val="134"/>
      </rPr>
      <t>不可逆克容量</t>
    </r>
  </si>
  <si>
    <r>
      <rPr>
        <sz val="11"/>
        <color rgb="FF000000"/>
        <rFont val="宋体"/>
        <family val="3"/>
        <charset val="134"/>
      </rPr>
      <t>正极体积容量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</si>
  <si>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  <r>
      <rPr>
        <sz val="11"/>
        <color rgb="FF000000"/>
        <rFont val="Times New Roman"/>
        <family val="1"/>
      </rPr>
      <t xml:space="preserve"> SP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</si>
  <si>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  <r>
      <rPr>
        <sz val="11"/>
        <color rgb="FF000000"/>
        <rFont val="Times New Roman"/>
        <family val="1"/>
      </rPr>
      <t xml:space="preserve"> CNTs</t>
    </r>
  </si>
  <si>
    <r>
      <rPr>
        <sz val="11"/>
        <color rgb="FF000000"/>
        <rFont val="宋体"/>
        <family val="3"/>
        <charset val="134"/>
      </rPr>
      <t>粘结剂真密度</t>
    </r>
  </si>
  <si>
    <r>
      <rPr>
        <sz val="11"/>
        <color indexed="8"/>
        <rFont val="宋体"/>
        <family val="3"/>
        <charset val="134"/>
      </rPr>
      <t>导电材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</si>
  <si>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导电材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</si>
  <si>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粘结剂比例</t>
    </r>
  </si>
  <si>
    <r>
      <rPr>
        <b/>
        <sz val="11"/>
        <color rgb="FF000000"/>
        <rFont val="宋体"/>
        <family val="3"/>
        <charset val="134"/>
      </rPr>
      <t>■负极材料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</si>
  <si>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1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</si>
  <si>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2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</si>
  <si>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</si>
  <si>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</si>
  <si>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材料充电克容量</t>
    </r>
  </si>
  <si>
    <r>
      <rPr>
        <sz val="11"/>
        <color indexed="8"/>
        <rFont val="宋体"/>
        <family val="3"/>
        <charset val="134"/>
      </rPr>
      <t>材料放电克容量</t>
    </r>
  </si>
  <si>
    <r>
      <rPr>
        <sz val="11"/>
        <color indexed="8"/>
        <rFont val="宋体"/>
        <family val="3"/>
        <charset val="134"/>
      </rPr>
      <t>效率</t>
    </r>
  </si>
  <si>
    <r>
      <rPr>
        <sz val="11"/>
        <color rgb="FF000000"/>
        <rFont val="宋体"/>
        <family val="3"/>
        <charset val="134"/>
      </rPr>
      <t>活物质真密度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</si>
  <si>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</si>
  <si>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</si>
  <si>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増粘剂真密度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</si>
  <si>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</si>
  <si>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</si>
  <si>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活物质比例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</si>
  <si>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</si>
  <si>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</si>
  <si>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増粘剂比例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</si>
  <si>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</si>
  <si>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</si>
  <si>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极宽</t>
    </r>
  </si>
  <si>
    <r>
      <t>Al</t>
    </r>
    <r>
      <rPr>
        <sz val="11"/>
        <color rgb="FF000000"/>
        <rFont val="宋体"/>
        <family val="3"/>
        <charset val="134"/>
      </rPr>
      <t>基材面密度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</si>
  <si>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极活物质密度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</si>
  <si>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</si>
  <si>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极涂层真密度</t>
    </r>
  </si>
  <si>
    <r>
      <rPr>
        <sz val="11"/>
        <color rgb="FF000000"/>
        <rFont val="宋体"/>
        <family val="3"/>
        <charset val="134"/>
      </rPr>
      <t>辊压之后厚度回弹率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</si>
  <si>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极辊压目标厚度</t>
    </r>
  </si>
  <si>
    <r>
      <rPr>
        <sz val="11"/>
        <color rgb="FF000000"/>
        <rFont val="宋体"/>
        <family val="3"/>
        <charset val="134"/>
      </rPr>
      <t>正极厚度</t>
    </r>
  </si>
  <si>
    <r>
      <t>Al</t>
    </r>
    <r>
      <rPr>
        <sz val="11"/>
        <color rgb="FF000000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</si>
  <si>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辊压后延伸率</t>
    </r>
  </si>
  <si>
    <r>
      <rPr>
        <sz val="11"/>
        <color indexed="8"/>
        <rFont val="宋体"/>
        <family val="3"/>
        <charset val="134"/>
      </rPr>
      <t>辊压后</t>
    </r>
    <r>
      <rPr>
        <sz val="11"/>
        <color indexed="8"/>
        <rFont val="Times New Roman"/>
        <family val="1"/>
      </rPr>
      <t>Al</t>
    </r>
    <r>
      <rPr>
        <sz val="11"/>
        <color indexed="8"/>
        <rFont val="宋体"/>
        <family val="3"/>
        <charset val="134"/>
      </rPr>
      <t>基材厚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</si>
  <si>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极涂层重量</t>
    </r>
  </si>
  <si>
    <r>
      <rPr>
        <sz val="11"/>
        <color rgb="FF000000"/>
        <rFont val="宋体"/>
        <family val="3"/>
        <charset val="134"/>
      </rPr>
      <t>正极活物质量</t>
    </r>
  </si>
  <si>
    <r>
      <rPr>
        <sz val="11"/>
        <color indexed="8"/>
        <rFont val="宋体"/>
        <family val="3"/>
        <charset val="134"/>
      </rPr>
      <t>导电剂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量</t>
    </r>
  </si>
  <si>
    <r>
      <rPr>
        <sz val="11"/>
        <color indexed="8"/>
        <rFont val="宋体"/>
        <family val="3"/>
        <charset val="134"/>
      </rPr>
      <t>导电剂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量</t>
    </r>
  </si>
  <si>
    <r>
      <t>PVDF</t>
    </r>
    <r>
      <rPr>
        <sz val="11"/>
        <color rgb="FF000000"/>
        <rFont val="宋体"/>
        <family val="3"/>
        <charset val="134"/>
      </rPr>
      <t>量</t>
    </r>
  </si>
  <si>
    <r>
      <t>Al</t>
    </r>
    <r>
      <rPr>
        <sz val="11"/>
        <color rgb="FF000000"/>
        <rFont val="宋体"/>
        <family val="3"/>
        <charset val="134"/>
      </rPr>
      <t>真密度</t>
    </r>
  </si>
  <si>
    <r>
      <t>Al</t>
    </r>
    <r>
      <rPr>
        <sz val="11"/>
        <color rgb="FF000000"/>
        <rFont val="宋体"/>
        <family val="3"/>
        <charset val="134"/>
      </rPr>
      <t>基材量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</si>
  <si>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极涂层体积</t>
    </r>
  </si>
  <si>
    <r>
      <rPr>
        <sz val="11"/>
        <color rgb="FF000000"/>
        <rFont val="宋体"/>
        <family val="3"/>
        <charset val="134"/>
      </rPr>
      <t>正极涂层空隙</t>
    </r>
  </si>
  <si>
    <r>
      <rPr>
        <sz val="11"/>
        <color rgb="FF000000"/>
        <rFont val="宋体"/>
        <family val="3"/>
        <charset val="134"/>
      </rPr>
      <t>负极宽</t>
    </r>
  </si>
  <si>
    <r>
      <rPr>
        <sz val="11"/>
        <color rgb="FF000000"/>
        <rFont val="宋体"/>
        <family val="3"/>
        <charset val="134"/>
      </rPr>
      <t>两面涂布面密度</t>
    </r>
  </si>
  <si>
    <r>
      <t>Cu</t>
    </r>
    <r>
      <rPr>
        <sz val="11"/>
        <color rgb="FF000000"/>
        <rFont val="宋体"/>
        <family val="3"/>
        <charset val="134"/>
      </rPr>
      <t>基材面密度</t>
    </r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</si>
  <si>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活物质密度</t>
    </r>
  </si>
  <si>
    <r>
      <rPr>
        <sz val="11"/>
        <color indexed="8"/>
        <rFont val="宋体"/>
        <family val="3"/>
        <charset val="134"/>
      </rPr>
      <t>负极涂层密度</t>
    </r>
  </si>
  <si>
    <r>
      <rPr>
        <sz val="11"/>
        <color rgb="FF000000"/>
        <rFont val="宋体"/>
        <family val="3"/>
        <charset val="134"/>
      </rPr>
      <t>负极涂层</t>
    </r>
    <r>
      <rPr>
        <sz val="11"/>
        <color indexed="8"/>
        <rFont val="宋体"/>
        <family val="3"/>
        <charset val="134"/>
      </rPr>
      <t>真密度</t>
    </r>
  </si>
  <si>
    <r>
      <rPr>
        <sz val="11"/>
        <color indexed="8"/>
        <rFont val="宋体"/>
        <family val="3"/>
        <charset val="134"/>
      </rPr>
      <t>辊压之后厚度回弹率</t>
    </r>
  </si>
  <si>
    <r>
      <rPr>
        <sz val="11"/>
        <color indexed="8"/>
        <rFont val="宋体"/>
        <family val="3"/>
        <charset val="134"/>
      </rPr>
      <t>负极辊压目标厚度</t>
    </r>
  </si>
  <si>
    <r>
      <rPr>
        <sz val="11"/>
        <color rgb="FF000000"/>
        <rFont val="宋体"/>
        <family val="3"/>
        <charset val="134"/>
      </rPr>
      <t>负极厚度</t>
    </r>
  </si>
  <si>
    <r>
      <t>Cu</t>
    </r>
    <r>
      <rPr>
        <sz val="11"/>
        <color rgb="FF000000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</si>
  <si>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辊压后</t>
    </r>
    <r>
      <rPr>
        <sz val="11"/>
        <color indexed="8"/>
        <rFont val="Times New Roman"/>
        <family val="1"/>
      </rPr>
      <t>Cu</t>
    </r>
    <r>
      <rPr>
        <sz val="11"/>
        <color indexed="8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</si>
  <si>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负极涂层重量</t>
    </r>
  </si>
  <si>
    <r>
      <rPr>
        <sz val="11"/>
        <color indexed="8"/>
        <rFont val="宋体"/>
        <family val="3"/>
        <charset val="134"/>
      </rPr>
      <t>负极活物质量</t>
    </r>
  </si>
  <si>
    <r>
      <rPr>
        <sz val="11"/>
        <color rgb="FF000000"/>
        <rFont val="宋体"/>
        <family val="3"/>
        <charset val="134"/>
      </rPr>
      <t>导电剂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量</t>
    </r>
  </si>
  <si>
    <r>
      <rPr>
        <sz val="11"/>
        <color rgb="FF000000"/>
        <rFont val="宋体"/>
        <family val="3"/>
        <charset val="134"/>
      </rPr>
      <t>导电剂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量</t>
    </r>
  </si>
  <si>
    <r>
      <t>SBR</t>
    </r>
    <r>
      <rPr>
        <sz val="11"/>
        <color rgb="FF000000"/>
        <rFont val="宋体"/>
        <family val="3"/>
        <charset val="134"/>
      </rPr>
      <t>量（固体）</t>
    </r>
  </si>
  <si>
    <r>
      <t>CMC</t>
    </r>
    <r>
      <rPr>
        <sz val="11"/>
        <color rgb="FF000000"/>
        <rFont val="宋体"/>
        <family val="3"/>
        <charset val="134"/>
      </rPr>
      <t>粘</t>
    </r>
    <r>
      <rPr>
        <sz val="11"/>
        <color indexed="8"/>
        <rFont val="宋体"/>
        <family val="3"/>
        <charset val="134"/>
      </rPr>
      <t>结剂量（固体）</t>
    </r>
  </si>
  <si>
    <r>
      <t>Cu</t>
    </r>
    <r>
      <rPr>
        <sz val="11"/>
        <color rgb="FF000000"/>
        <rFont val="宋体"/>
        <family val="3"/>
        <charset val="134"/>
      </rPr>
      <t>真密度</t>
    </r>
  </si>
  <si>
    <r>
      <t>Cu</t>
    </r>
    <r>
      <rPr>
        <sz val="11"/>
        <color rgb="FF000000"/>
        <rFont val="宋体"/>
        <family val="3"/>
        <charset val="134"/>
      </rPr>
      <t>基材量</t>
    </r>
  </si>
  <si>
    <r>
      <rPr>
        <sz val="11"/>
        <rFont val="宋体"/>
        <family val="3"/>
        <charset val="134"/>
      </rPr>
      <t>负极涂层体积</t>
    </r>
  </si>
  <si>
    <r>
      <rPr>
        <sz val="11"/>
        <rFont val="宋体"/>
        <family val="3"/>
        <charset val="134"/>
      </rPr>
      <t>负极涂层空隙</t>
    </r>
  </si>
  <si>
    <r>
      <rPr>
        <sz val="11"/>
        <color indexed="8"/>
        <rFont val="宋体"/>
        <family val="3"/>
        <charset val="134"/>
      </rPr>
      <t>负极宽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正极宽</t>
    </r>
  </si>
  <si>
    <r>
      <rPr>
        <sz val="11"/>
        <color rgb="FF000000"/>
        <rFont val="宋体"/>
        <family val="3"/>
        <charset val="134"/>
      </rPr>
      <t>涂布面积比　正极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负极</t>
    </r>
  </si>
  <si>
    <r>
      <rPr>
        <sz val="11"/>
        <color rgb="FF000000"/>
        <rFont val="宋体"/>
        <family val="3"/>
        <charset val="134"/>
      </rPr>
      <t>‐</t>
    </r>
  </si>
  <si>
    <r>
      <rPr>
        <sz val="11"/>
        <color rgb="FF000000"/>
        <rFont val="宋体"/>
        <family val="3"/>
        <charset val="134"/>
      </rPr>
      <t>高度方向的富余</t>
    </r>
  </si>
  <si>
    <r>
      <rPr>
        <sz val="11"/>
        <color rgb="FF000000"/>
        <rFont val="宋体"/>
        <family val="3"/>
        <charset val="134"/>
      </rPr>
      <t>高度方向的富余度</t>
    </r>
  </si>
  <si>
    <r>
      <t>SOC100%</t>
    </r>
    <r>
      <rPr>
        <sz val="11"/>
        <color indexed="8"/>
        <rFont val="宋体"/>
        <family val="3"/>
        <charset val="134"/>
      </rPr>
      <t>负极涂层膨胀率</t>
    </r>
  </si>
  <si>
    <r>
      <t>SOC100%</t>
    </r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极厚</t>
    </r>
  </si>
  <si>
    <r>
      <t>SOC100%</t>
    </r>
    <r>
      <rPr>
        <sz val="11"/>
        <color indexed="8"/>
        <rFont val="宋体"/>
        <family val="3"/>
        <charset val="134"/>
      </rPr>
      <t>负极厚</t>
    </r>
  </si>
  <si>
    <r>
      <t>SOC100%</t>
    </r>
    <r>
      <rPr>
        <sz val="11"/>
        <color rgb="FF000000"/>
        <rFont val="宋体"/>
        <family val="3"/>
        <charset val="134"/>
      </rPr>
      <t>负极活物质密度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</si>
  <si>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全体孔隙体积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</si>
  <si>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孔隙中可能注液体积的比例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</si>
  <si>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中可能注液体积</t>
    </r>
  </si>
  <si>
    <r>
      <rPr>
        <sz val="11"/>
        <color rgb="FF000000"/>
        <rFont val="宋体"/>
        <family val="3"/>
        <charset val="134"/>
      </rPr>
      <t>隔膜材</t>
    </r>
    <r>
      <rPr>
        <sz val="11"/>
        <color indexed="8"/>
        <rFont val="宋体"/>
        <family val="3"/>
        <charset val="134"/>
      </rPr>
      <t>质</t>
    </r>
  </si>
  <si>
    <r>
      <rPr>
        <sz val="11"/>
        <color rgb="FF000000"/>
        <rFont val="宋体"/>
        <family val="3"/>
        <charset val="134"/>
      </rPr>
      <t>隔膜厚</t>
    </r>
  </si>
  <si>
    <r>
      <rPr>
        <sz val="11"/>
        <color rgb="FF000000"/>
        <rFont val="宋体"/>
        <family val="3"/>
        <charset val="134"/>
      </rPr>
      <t>隔膜孔隙率</t>
    </r>
  </si>
  <si>
    <r>
      <rPr>
        <sz val="11"/>
        <color rgb="FF000000"/>
        <rFont val="宋体"/>
        <family val="3"/>
        <charset val="134"/>
      </rPr>
      <t>隔膜的体</t>
    </r>
    <r>
      <rPr>
        <sz val="11"/>
        <color indexed="8"/>
        <rFont val="宋体"/>
        <family val="3"/>
        <charset val="134"/>
      </rPr>
      <t>积</t>
    </r>
  </si>
  <si>
    <r>
      <rPr>
        <sz val="11"/>
        <color rgb="FF000000"/>
        <rFont val="宋体"/>
        <family val="3"/>
        <charset val="134"/>
      </rPr>
      <t>隔膜的密度</t>
    </r>
  </si>
  <si>
    <r>
      <rPr>
        <sz val="11"/>
        <color rgb="FF000000"/>
        <rFont val="宋体"/>
        <family val="3"/>
        <charset val="134"/>
      </rPr>
      <t>隔膜的重量</t>
    </r>
  </si>
  <si>
    <r>
      <rPr>
        <sz val="11"/>
        <color rgb="FF000000"/>
        <rFont val="宋体"/>
        <family val="3"/>
        <charset val="134"/>
      </rPr>
      <t>隔膜孔隙体</t>
    </r>
    <r>
      <rPr>
        <sz val="11"/>
        <color indexed="8"/>
        <rFont val="宋体"/>
        <family val="3"/>
        <charset val="134"/>
      </rPr>
      <t>积</t>
    </r>
  </si>
  <si>
    <r>
      <rPr>
        <sz val="11"/>
        <color indexed="8"/>
        <rFont val="宋体"/>
        <family val="3"/>
        <charset val="134"/>
      </rPr>
      <t>电解液密度</t>
    </r>
  </si>
  <si>
    <r>
      <rPr>
        <sz val="11"/>
        <color indexed="8"/>
        <rFont val="宋体"/>
        <family val="3"/>
        <charset val="134"/>
      </rPr>
      <t>壳体内部空间体积</t>
    </r>
  </si>
  <si>
    <r>
      <rPr>
        <sz val="11"/>
        <color rgb="FF000000"/>
        <rFont val="宋体"/>
        <family val="3"/>
        <charset val="134"/>
      </rPr>
      <t>胶带宽</t>
    </r>
  </si>
  <si>
    <r>
      <rPr>
        <sz val="11"/>
        <color rgb="FF000000"/>
        <rFont val="宋体"/>
        <family val="3"/>
        <charset val="134"/>
      </rPr>
      <t>胶带长</t>
    </r>
  </si>
  <si>
    <r>
      <rPr>
        <sz val="11"/>
        <color rgb="FF000000"/>
        <rFont val="宋体"/>
        <family val="3"/>
        <charset val="134"/>
      </rPr>
      <t>胶带</t>
    </r>
    <r>
      <rPr>
        <sz val="11"/>
        <color indexed="8"/>
        <rFont val="宋体"/>
        <family val="3"/>
        <charset val="134"/>
      </rPr>
      <t>重量</t>
    </r>
  </si>
  <si>
    <r>
      <rPr>
        <sz val="11"/>
        <color rgb="FF000000"/>
        <rFont val="宋体"/>
        <family val="3"/>
        <charset val="134"/>
      </rPr>
      <t>正极极耳宽度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</si>
  <si>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极极耳重量</t>
    </r>
  </si>
  <si>
    <r>
      <rPr>
        <sz val="11"/>
        <color rgb="FF000000"/>
        <rFont val="宋体"/>
        <family val="3"/>
        <charset val="134"/>
      </rPr>
      <t>负极极耳宽度</t>
    </r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</si>
  <si>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极耳重量</t>
    </r>
  </si>
  <si>
    <r>
      <rPr>
        <sz val="11"/>
        <color rgb="FF000000"/>
        <rFont val="宋体"/>
        <family val="3"/>
        <charset val="134"/>
      </rPr>
      <t>内部空</t>
    </r>
    <r>
      <rPr>
        <sz val="11"/>
        <color indexed="8"/>
        <rFont val="宋体"/>
        <family val="3"/>
        <charset val="134"/>
      </rPr>
      <t>间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高度</t>
    </r>
  </si>
  <si>
    <r>
      <rPr>
        <sz val="11"/>
        <color rgb="FF000000"/>
        <rFont val="宋体"/>
        <family val="3"/>
        <charset val="134"/>
      </rPr>
      <t>电</t>
    </r>
    <r>
      <rPr>
        <sz val="11"/>
        <color indexed="8"/>
        <rFont val="宋体"/>
        <family val="3"/>
        <charset val="134"/>
      </rPr>
      <t>池重量</t>
    </r>
  </si>
  <si>
    <r>
      <rPr>
        <sz val="11"/>
        <color rgb="FF000000"/>
        <rFont val="宋体"/>
        <family val="3"/>
        <charset val="134"/>
      </rPr>
      <t>电池体积</t>
    </r>
  </si>
  <si>
    <r>
      <rPr>
        <sz val="11"/>
        <color rgb="FF000000"/>
        <rFont val="宋体"/>
        <family val="3"/>
        <charset val="134"/>
      </rPr>
      <t>相对容量的气体发生量</t>
    </r>
  </si>
  <si>
    <r>
      <rPr>
        <sz val="11"/>
        <color rgb="FF000000"/>
        <rFont val="宋体"/>
        <family val="3"/>
        <charset val="134"/>
      </rPr>
      <t>电池气体发生量</t>
    </r>
  </si>
  <si>
    <r>
      <rPr>
        <sz val="11"/>
        <color rgb="FF000000"/>
        <rFont val="宋体"/>
        <family val="3"/>
        <charset val="134"/>
      </rPr>
      <t>公称电压　放电</t>
    </r>
    <r>
      <rPr>
        <sz val="11"/>
        <color rgb="FF000000"/>
        <rFont val="Times New Roman"/>
        <family val="1"/>
      </rPr>
      <t xml:space="preserve"> 0.2C</t>
    </r>
  </si>
  <si>
    <r>
      <rPr>
        <sz val="11"/>
        <color rgb="FF000000"/>
        <rFont val="宋体"/>
        <family val="3"/>
        <charset val="134"/>
      </rPr>
      <t>电池容量　</t>
    </r>
    <r>
      <rPr>
        <sz val="11"/>
        <color rgb="FF000000"/>
        <rFont val="Times New Roman"/>
        <family val="1"/>
      </rPr>
      <t>ave.</t>
    </r>
    <r>
      <rPr>
        <sz val="11"/>
        <color rgb="FF000000"/>
        <rFont val="宋体"/>
        <family val="3"/>
        <charset val="134"/>
      </rPr>
      <t>　</t>
    </r>
    <r>
      <rPr>
        <sz val="11"/>
        <color rgb="FF000000"/>
        <rFont val="Times New Roman"/>
        <family val="1"/>
      </rPr>
      <t>0.2C</t>
    </r>
  </si>
  <si>
    <r>
      <rPr>
        <sz val="11"/>
        <color rgb="FF000000"/>
        <rFont val="宋体"/>
        <family val="3"/>
        <charset val="134"/>
      </rPr>
      <t>电池能量</t>
    </r>
  </si>
  <si>
    <r>
      <rPr>
        <sz val="11"/>
        <color indexed="8"/>
        <rFont val="宋体"/>
        <family val="3"/>
        <charset val="134"/>
      </rPr>
      <t>电池能量重量密度</t>
    </r>
  </si>
  <si>
    <r>
      <rPr>
        <sz val="11"/>
        <color indexed="8"/>
        <rFont val="宋体"/>
        <family val="3"/>
        <charset val="134"/>
      </rPr>
      <t>电池能量体积密度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</si>
  <si>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极不可逆容量</t>
    </r>
  </si>
  <si>
    <r>
      <rPr>
        <sz val="11"/>
        <color rgb="FF000000"/>
        <rFont val="宋体"/>
        <family val="3"/>
        <charset val="134"/>
      </rPr>
      <t>负极充电</t>
    </r>
    <r>
      <rPr>
        <sz val="11"/>
        <color indexed="8"/>
        <rFont val="宋体"/>
        <family val="3"/>
        <charset val="134"/>
      </rPr>
      <t>容量</t>
    </r>
  </si>
  <si>
    <r>
      <rPr>
        <sz val="11"/>
        <color rgb="FF000000"/>
        <rFont val="宋体"/>
        <family val="3"/>
        <charset val="134"/>
      </rPr>
      <t>负极实际</t>
    </r>
    <r>
      <rPr>
        <sz val="11"/>
        <color indexed="8"/>
        <rFont val="宋体"/>
        <family val="3"/>
        <charset val="134"/>
      </rPr>
      <t>使用容量</t>
    </r>
  </si>
  <si>
    <r>
      <rPr>
        <sz val="11"/>
        <color rgb="FF000000"/>
        <rFont val="宋体"/>
        <family val="3"/>
        <charset val="134"/>
      </rPr>
      <t>负极放电</t>
    </r>
    <r>
      <rPr>
        <sz val="11"/>
        <color indexed="8"/>
        <rFont val="宋体"/>
        <family val="3"/>
        <charset val="134"/>
      </rPr>
      <t>可能容量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</si>
  <si>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极对应部分的负极放电可能容量</t>
    </r>
  </si>
  <si>
    <t>mm</t>
    <phoneticPr fontId="26" type="noConversion"/>
  </si>
  <si>
    <t>cm3</t>
    <phoneticPr fontId="26" type="noConversion"/>
  </si>
  <si>
    <t>g/cc</t>
    <phoneticPr fontId="26" type="noConversion"/>
  </si>
  <si>
    <t>-</t>
    <phoneticPr fontId="26" type="noConversion"/>
  </si>
  <si>
    <r>
      <rPr>
        <sz val="11"/>
        <color rgb="FF000000"/>
        <rFont val="宋体"/>
        <family val="3"/>
        <charset val="134"/>
      </rPr>
      <t>面密度的</t>
    </r>
    <r>
      <rPr>
        <sz val="11"/>
        <color rgb="FF000000"/>
        <rFont val="Times New Roman"/>
        <family val="1"/>
      </rPr>
      <t>N/P</t>
    </r>
    <phoneticPr fontId="26" type="noConversion"/>
  </si>
  <si>
    <t>mm</t>
    <phoneticPr fontId="26" type="noConversion"/>
  </si>
  <si>
    <t>mm</t>
    <phoneticPr fontId="26" type="noConversion"/>
  </si>
  <si>
    <t>μm</t>
    <phoneticPr fontId="26" type="noConversion"/>
  </si>
  <si>
    <t>mm</t>
    <phoneticPr fontId="26" type="noConversion"/>
  </si>
  <si>
    <t>μm</t>
    <phoneticPr fontId="26" type="noConversion"/>
  </si>
  <si>
    <t>g/cc</t>
    <phoneticPr fontId="26" type="noConversion"/>
  </si>
  <si>
    <t>A/mm2</t>
    <phoneticPr fontId="26" type="noConversion"/>
  </si>
  <si>
    <r>
      <rPr>
        <sz val="11"/>
        <color indexed="8"/>
        <rFont val="宋体"/>
        <family val="3"/>
        <charset val="134"/>
      </rPr>
      <t>首效</t>
    </r>
    <phoneticPr fontId="26" type="noConversion"/>
  </si>
  <si>
    <r>
      <rPr>
        <sz val="11"/>
        <color rgb="FF000000"/>
        <rFont val="宋体"/>
        <family val="3"/>
        <charset val="134"/>
      </rPr>
      <t>活物质真密度</t>
    </r>
    <phoneticPr fontId="26" type="noConversion"/>
  </si>
  <si>
    <r>
      <rPr>
        <sz val="11"/>
        <color rgb="FF000000"/>
        <rFont val="宋体"/>
        <family val="3"/>
        <charset val="134"/>
      </rPr>
      <t>目标使用容量（与正极相对部分）</t>
    </r>
    <phoneticPr fontId="26" type="noConversion"/>
  </si>
  <si>
    <r>
      <rPr>
        <b/>
        <sz val="12"/>
        <color rgb="FF000000"/>
        <rFont val="宋体"/>
        <family val="3"/>
        <charset val="134"/>
      </rPr>
      <t>■正极极片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</si>
  <si>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极总长</t>
    </r>
    <phoneticPr fontId="26" type="noConversion"/>
  </si>
  <si>
    <r>
      <rPr>
        <sz val="11"/>
        <color rgb="FF000000"/>
        <rFont val="宋体"/>
        <family val="3"/>
        <charset val="134"/>
      </rPr>
      <t>自己填写，约等于</t>
    </r>
    <r>
      <rPr>
        <sz val="11"/>
        <color rgb="FF000000"/>
        <rFont val="Times New Roman"/>
        <family val="1"/>
      </rPr>
      <t>171</t>
    </r>
    <r>
      <rPr>
        <sz val="11"/>
        <color rgb="FF000000"/>
        <rFont val="宋体"/>
        <family val="3"/>
        <charset val="134"/>
      </rPr>
      <t>行数据</t>
    </r>
    <r>
      <rPr>
        <sz val="11"/>
        <color rgb="FF000000"/>
        <rFont val="Times New Roman"/>
        <family val="1"/>
      </rPr>
      <t>+2.5mm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</si>
  <si>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极焊极耳未涂布区长度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</si>
  <si>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极涂布长度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</si>
  <si>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极涂布面积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family val="3"/>
        <charset val="134"/>
      </rPr>
      <t>以单面计算</t>
    </r>
    <r>
      <rPr>
        <sz val="11"/>
        <color indexed="8"/>
        <rFont val="Times New Roman"/>
        <family val="1"/>
      </rPr>
      <t>)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</si>
  <si>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极两面涂布面密度（含箔）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</si>
  <si>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极两面涂布面密度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</si>
  <si>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极极片重量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</si>
  <si>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极极片重量</t>
    </r>
    <phoneticPr fontId="26" type="noConversion"/>
  </si>
  <si>
    <r>
      <rPr>
        <b/>
        <sz val="12"/>
        <color rgb="FF000000"/>
        <rFont val="宋体"/>
        <family val="3"/>
        <charset val="134"/>
      </rPr>
      <t>■负极极片</t>
    </r>
    <phoneticPr fontId="26" type="noConversion"/>
  </si>
  <si>
    <r>
      <rPr>
        <sz val="11"/>
        <color rgb="FF000000"/>
        <rFont val="宋体"/>
        <family val="3"/>
        <charset val="134"/>
      </rPr>
      <t>负极总长度</t>
    </r>
    <phoneticPr fontId="26" type="noConversion"/>
  </si>
  <si>
    <r>
      <rPr>
        <sz val="11"/>
        <color rgb="FF000000"/>
        <rFont val="宋体"/>
        <family val="3"/>
        <charset val="134"/>
      </rPr>
      <t>自己填写，至少比</t>
    </r>
    <r>
      <rPr>
        <sz val="11"/>
        <color rgb="FF000000"/>
        <rFont val="Times New Roman"/>
        <family val="1"/>
      </rPr>
      <t>176</t>
    </r>
    <r>
      <rPr>
        <sz val="11"/>
        <color rgb="FF000000"/>
        <rFont val="宋体"/>
        <family val="3"/>
        <charset val="134"/>
      </rPr>
      <t>行数据大</t>
    </r>
    <r>
      <rPr>
        <sz val="11"/>
        <color rgb="FF000000"/>
        <rFont val="Times New Roman"/>
        <family val="1"/>
      </rPr>
      <t>5mm</t>
    </r>
    <phoneticPr fontId="26" type="noConversion"/>
  </si>
  <si>
    <r>
      <rPr>
        <sz val="11"/>
        <color rgb="FF000000"/>
        <rFont val="宋体"/>
        <family val="3"/>
        <charset val="134"/>
      </rPr>
      <t>负极内侧焊极耳未涂布长</t>
    </r>
    <phoneticPr fontId="26" type="noConversion"/>
  </si>
  <si>
    <r>
      <rPr>
        <sz val="11"/>
        <color rgb="FF000000"/>
        <rFont val="宋体"/>
        <family val="3"/>
        <charset val="134"/>
      </rPr>
      <t>负极双面涂布长度</t>
    </r>
    <phoneticPr fontId="26" type="noConversion"/>
  </si>
  <si>
    <r>
      <rPr>
        <sz val="11"/>
        <color rgb="FF000000"/>
        <rFont val="宋体"/>
        <family val="3"/>
        <charset val="134"/>
      </rPr>
      <t>负极双面涂布面积（以单面计）</t>
    </r>
    <phoneticPr fontId="26" type="noConversion"/>
  </si>
  <si>
    <r>
      <rPr>
        <sz val="11"/>
        <color rgb="FF000000"/>
        <rFont val="宋体"/>
        <family val="3"/>
        <charset val="134"/>
      </rPr>
      <t>负极单面涂布面积</t>
    </r>
    <phoneticPr fontId="26" type="noConversion"/>
  </si>
  <si>
    <r>
      <rPr>
        <sz val="11"/>
        <color rgb="FF000000"/>
        <rFont val="宋体"/>
        <family val="3"/>
        <charset val="134"/>
      </rPr>
      <t>两面涂布面密度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含箔</t>
    </r>
    <r>
      <rPr>
        <sz val="11"/>
        <color rgb="FF000000"/>
        <rFont val="Times New Roman"/>
        <family val="1"/>
      </rPr>
      <t>)</t>
    </r>
    <phoneticPr fontId="26" type="noConversion"/>
  </si>
  <si>
    <r>
      <rPr>
        <sz val="11"/>
        <color rgb="FF000000"/>
        <rFont val="宋体"/>
        <family val="3"/>
        <charset val="134"/>
      </rPr>
      <t>单面涂布区域面密度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含箔</t>
    </r>
    <r>
      <rPr>
        <sz val="11"/>
        <color rgb="FF000000"/>
        <rFont val="Times New Roman"/>
        <family val="1"/>
      </rPr>
      <t>)</t>
    </r>
    <phoneticPr fontId="26" type="noConversion"/>
  </si>
  <si>
    <r>
      <rPr>
        <sz val="11"/>
        <color rgb="FF000000"/>
        <rFont val="宋体"/>
        <family val="3"/>
        <charset val="134"/>
      </rPr>
      <t>单面涂布区域面密度</t>
    </r>
    <phoneticPr fontId="26" type="noConversion"/>
  </si>
  <si>
    <r>
      <rPr>
        <sz val="11"/>
        <color rgb="FF000000"/>
        <rFont val="宋体"/>
        <family val="3"/>
        <charset val="134"/>
      </rPr>
      <t>负</t>
    </r>
    <r>
      <rPr>
        <sz val="11"/>
        <color indexed="8"/>
        <rFont val="宋体"/>
        <family val="3"/>
        <charset val="134"/>
      </rPr>
      <t>极极片重量</t>
    </r>
    <phoneticPr fontId="26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</si>
  <si>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卷芯设计</t>
    </r>
    <phoneticPr fontId="26" type="noConversion"/>
  </si>
  <si>
    <r>
      <rPr>
        <sz val="11"/>
        <color rgb="FF000000"/>
        <rFont val="宋体"/>
        <family val="3"/>
        <charset val="134"/>
      </rPr>
      <t>隔膜</t>
    </r>
    <r>
      <rPr>
        <sz val="11"/>
        <color indexed="8"/>
        <rFont val="宋体"/>
        <family val="3"/>
        <charset val="134"/>
      </rPr>
      <t>宽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负极宽</t>
    </r>
    <phoneticPr fontId="26" type="noConversion"/>
  </si>
  <si>
    <r>
      <rPr>
        <sz val="11"/>
        <color indexed="8"/>
        <rFont val="宋体"/>
        <family val="3"/>
        <charset val="134"/>
      </rPr>
      <t>负极长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正极长</t>
    </r>
    <phoneticPr fontId="26" type="noConversion"/>
  </si>
  <si>
    <r>
      <rPr>
        <sz val="11"/>
        <color rgb="FF000000"/>
        <rFont val="宋体"/>
        <family val="3"/>
        <charset val="134"/>
      </rPr>
      <t>内部负极多出正极长度</t>
    </r>
    <phoneticPr fontId="26" type="noConversion"/>
  </si>
  <si>
    <r>
      <rPr>
        <sz val="11"/>
        <color rgb="FF000000"/>
        <rFont val="宋体"/>
        <family val="3"/>
        <charset val="134"/>
      </rPr>
      <t>外部负极多出正极长度</t>
    </r>
    <phoneticPr fontId="26" type="noConversion"/>
  </si>
  <si>
    <r>
      <rPr>
        <sz val="11"/>
        <color rgb="FF000000"/>
        <rFont val="宋体"/>
        <family val="3"/>
        <charset val="134"/>
      </rPr>
      <t>内部隔膜多出正极</t>
    </r>
    <r>
      <rPr>
        <sz val="11"/>
        <color indexed="8"/>
        <rFont val="宋体"/>
        <family val="3"/>
        <charset val="134"/>
      </rPr>
      <t>长度</t>
    </r>
    <phoneticPr fontId="26" type="noConversion"/>
  </si>
  <si>
    <r>
      <rPr>
        <sz val="11"/>
        <color rgb="FF000000"/>
        <rFont val="宋体"/>
        <family val="3"/>
        <charset val="134"/>
      </rPr>
      <t>外部隔膜多出正极</t>
    </r>
    <r>
      <rPr>
        <sz val="11"/>
        <color indexed="8"/>
        <rFont val="宋体"/>
        <family val="3"/>
        <charset val="134"/>
      </rPr>
      <t>长度</t>
    </r>
    <phoneticPr fontId="26" type="noConversion"/>
  </si>
  <si>
    <r>
      <rPr>
        <sz val="11"/>
        <color rgb="FF000000"/>
        <rFont val="宋体"/>
        <family val="3"/>
        <charset val="134"/>
      </rPr>
      <t>隔膜宽</t>
    </r>
    <r>
      <rPr>
        <sz val="11"/>
        <color rgb="FF000000"/>
        <rFont val="MS PMincho"/>
        <family val="1"/>
      </rPr>
      <t/>
    </r>
    <phoneticPr fontId="26" type="noConversion"/>
  </si>
  <si>
    <r>
      <rPr>
        <sz val="11"/>
        <color rgb="FF000000"/>
        <rFont val="宋体"/>
        <family val="3"/>
        <charset val="134"/>
      </rPr>
      <t>内核去除的圈数</t>
    </r>
    <phoneticPr fontId="26" type="noConversion"/>
  </si>
  <si>
    <r>
      <rPr>
        <sz val="11"/>
        <color rgb="FF000000"/>
        <rFont val="宋体"/>
        <family val="3"/>
        <charset val="134"/>
      </rPr>
      <t>圈</t>
    </r>
    <phoneticPr fontId="26" type="noConversion"/>
  </si>
  <si>
    <r>
      <rPr>
        <sz val="11"/>
        <color rgb="FF000000"/>
        <rFont val="宋体"/>
        <family val="3"/>
        <charset val="134"/>
      </rPr>
      <t>内部空间直径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卷芯直径</t>
    </r>
    <phoneticPr fontId="26" type="noConversion"/>
  </si>
  <si>
    <r>
      <rPr>
        <sz val="11"/>
        <color rgb="FF000000"/>
        <rFont val="宋体"/>
        <family val="3"/>
        <charset val="134"/>
      </rPr>
      <t>卷芯估算直径</t>
    </r>
    <phoneticPr fontId="26" type="noConversion"/>
  </si>
  <si>
    <r>
      <rPr>
        <sz val="11"/>
        <color rgb="FF000000"/>
        <rFont val="宋体"/>
        <family val="3"/>
        <charset val="134"/>
      </rPr>
      <t>包含内核的正极卷绕圈数</t>
    </r>
    <phoneticPr fontId="26" type="noConversion"/>
  </si>
  <si>
    <r>
      <rPr>
        <sz val="11"/>
        <color rgb="FF000000"/>
        <rFont val="宋体"/>
        <family val="3"/>
        <charset val="134"/>
      </rPr>
      <t>圈</t>
    </r>
    <phoneticPr fontId="26" type="noConversion"/>
  </si>
  <si>
    <r>
      <rPr>
        <sz val="11"/>
        <color rgb="FF000000"/>
        <rFont val="宋体"/>
        <family val="3"/>
        <charset val="134"/>
      </rPr>
      <t>正极实际卷绕圈数</t>
    </r>
    <phoneticPr fontId="26" type="noConversion"/>
  </si>
  <si>
    <r>
      <rPr>
        <sz val="11"/>
        <color rgb="FF000000"/>
        <rFont val="宋体"/>
        <family val="3"/>
        <charset val="134"/>
      </rPr>
      <t>卷芯内核螺线长度</t>
    </r>
    <phoneticPr fontId="26" type="noConversion"/>
  </si>
  <si>
    <r>
      <rPr>
        <sz val="11"/>
        <color rgb="FF000000"/>
        <rFont val="宋体"/>
        <family val="3"/>
        <charset val="134"/>
      </rPr>
      <t>包含内核的螺线长度</t>
    </r>
    <phoneticPr fontId="26" type="noConversion"/>
  </si>
  <si>
    <r>
      <rPr>
        <sz val="11"/>
        <color rgb="FF000000"/>
        <rFont val="宋体"/>
        <family val="3"/>
        <charset val="134"/>
      </rPr>
      <t>正极极片的理论长度</t>
    </r>
    <phoneticPr fontId="26" type="noConversion"/>
  </si>
  <si>
    <r>
      <rPr>
        <sz val="11"/>
        <color rgb="FF000000"/>
        <rFont val="宋体"/>
        <family val="3"/>
        <charset val="134"/>
      </rPr>
      <t>隔膜全</t>
    </r>
    <r>
      <rPr>
        <sz val="11"/>
        <color indexed="8"/>
        <rFont val="宋体"/>
        <family val="3"/>
        <charset val="134"/>
      </rPr>
      <t>长</t>
    </r>
    <phoneticPr fontId="26" type="noConversion"/>
  </si>
  <si>
    <r>
      <rPr>
        <sz val="11"/>
        <color rgb="FF000000"/>
        <rFont val="宋体"/>
        <family val="3"/>
        <charset val="134"/>
      </rPr>
      <t>电池组成基本单元厚度</t>
    </r>
    <r>
      <rPr>
        <sz val="11"/>
        <color rgb="FF000000"/>
        <rFont val="Times New Roman"/>
        <family val="1"/>
      </rPr>
      <t>d</t>
    </r>
    <r>
      <rPr>
        <vertAlign val="subscript"/>
        <sz val="11"/>
        <color rgb="FF000000"/>
        <rFont val="Times New Roman"/>
        <family val="1"/>
      </rPr>
      <t>ascs</t>
    </r>
    <r>
      <rPr>
        <sz val="11"/>
        <color rgb="FF000000"/>
        <rFont val="Times New Roman"/>
        <family val="1"/>
      </rPr>
      <t>=</t>
    </r>
    <r>
      <rPr>
        <sz val="11"/>
        <color rgb="FF000000"/>
        <rFont val="宋体"/>
        <family val="3"/>
        <charset val="134"/>
      </rPr>
      <t>正极极片厚度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宋体"/>
        <family val="3"/>
        <charset val="134"/>
      </rPr>
      <t>负极极片厚度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宋体"/>
        <family val="3"/>
        <charset val="134"/>
      </rPr>
      <t>隔膜厚度</t>
    </r>
    <r>
      <rPr>
        <sz val="11"/>
        <color rgb="FF000000"/>
        <rFont val="Times New Roman"/>
        <family val="1"/>
      </rPr>
      <t>*2</t>
    </r>
    <phoneticPr fontId="26" type="noConversion"/>
  </si>
  <si>
    <r>
      <rPr>
        <sz val="11"/>
        <color rgb="FF000000"/>
        <rFont val="宋体"/>
        <family val="3"/>
        <charset val="134"/>
      </rPr>
      <t>螺线极坐标参数</t>
    </r>
    <r>
      <rPr>
        <sz val="11"/>
        <color rgb="FF000000"/>
        <rFont val="Times New Roman"/>
        <family val="1"/>
      </rPr>
      <t>a=d</t>
    </r>
    <r>
      <rPr>
        <vertAlign val="subscript"/>
        <sz val="11"/>
        <color rgb="FF000000"/>
        <rFont val="Times New Roman"/>
        <family val="1"/>
      </rPr>
      <t>ascs</t>
    </r>
    <r>
      <rPr>
        <sz val="11"/>
        <color rgb="FF000000"/>
        <rFont val="Times New Roman"/>
        <family val="1"/>
      </rPr>
      <t>/2π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</si>
  <si>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极圈数</t>
    </r>
    <phoneticPr fontId="26" type="noConversion"/>
  </si>
  <si>
    <r>
      <rPr>
        <sz val="11"/>
        <color rgb="FF000000"/>
        <rFont val="宋体"/>
        <family val="3"/>
        <charset val="134"/>
      </rPr>
      <t>圈</t>
    </r>
    <phoneticPr fontId="26" type="noConversion"/>
  </si>
  <si>
    <r>
      <rPr>
        <sz val="11"/>
        <color rgb="FF000000"/>
        <rFont val="宋体"/>
        <family val="3"/>
        <charset val="134"/>
      </rPr>
      <t>负极圈数</t>
    </r>
    <phoneticPr fontId="26" type="noConversion"/>
  </si>
  <si>
    <r>
      <rPr>
        <sz val="11"/>
        <color rgb="FF000000"/>
        <rFont val="宋体"/>
        <family val="3"/>
        <charset val="134"/>
      </rPr>
      <t>隔膜圈数</t>
    </r>
    <phoneticPr fontId="26" type="noConversion"/>
  </si>
  <si>
    <r>
      <rPr>
        <sz val="11"/>
        <color rgb="FF000000"/>
        <rFont val="宋体"/>
        <family val="3"/>
        <charset val="134"/>
      </rPr>
      <t>卷芯直径</t>
    </r>
    <phoneticPr fontId="26" type="noConversion"/>
  </si>
  <si>
    <r>
      <rPr>
        <sz val="11"/>
        <color rgb="FF000000"/>
        <rFont val="宋体"/>
        <family val="3"/>
        <charset val="134"/>
      </rPr>
      <t>直径方向的富余量</t>
    </r>
    <phoneticPr fontId="26" type="noConversion"/>
  </si>
  <si>
    <r>
      <rPr>
        <sz val="11"/>
        <color rgb="FF000000"/>
        <rFont val="宋体"/>
        <family val="3"/>
        <charset val="134"/>
      </rPr>
      <t>直径方向的富余度</t>
    </r>
    <phoneticPr fontId="26" type="noConversion"/>
  </si>
  <si>
    <r>
      <t>SOC100%</t>
    </r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极涂层膨胀率</t>
    </r>
    <phoneticPr fontId="26" type="noConversion"/>
  </si>
  <si>
    <r>
      <rPr>
        <sz val="11"/>
        <color rgb="FF000000"/>
        <rFont val="宋体"/>
        <family val="3"/>
        <charset val="134"/>
      </rPr>
      <t>卷芯体积</t>
    </r>
    <phoneticPr fontId="26" type="noConversion"/>
  </si>
  <si>
    <r>
      <rPr>
        <sz val="11"/>
        <color rgb="FF000000"/>
        <rFont val="宋体"/>
        <family val="3"/>
        <charset val="134"/>
      </rPr>
      <t>卷芯重量（不含极耳）</t>
    </r>
    <phoneticPr fontId="26" type="noConversion"/>
  </si>
  <si>
    <r>
      <rPr>
        <sz val="11"/>
        <color rgb="FF000000"/>
        <rFont val="宋体"/>
        <family val="3"/>
        <charset val="134"/>
      </rPr>
      <t>极片和隔膜全部注液空</t>
    </r>
    <r>
      <rPr>
        <sz val="11"/>
        <color indexed="8"/>
        <rFont val="宋体"/>
        <family val="3"/>
        <charset val="134"/>
      </rPr>
      <t>间</t>
    </r>
    <phoneticPr fontId="26" type="noConversion"/>
  </si>
  <si>
    <r>
      <rPr>
        <sz val="11"/>
        <color rgb="FF000000"/>
        <rFont val="宋体"/>
        <family val="3"/>
        <charset val="134"/>
      </rPr>
      <t>孔隙内的注液量</t>
    </r>
    <phoneticPr fontId="26" type="noConversion"/>
  </si>
  <si>
    <r>
      <rPr>
        <sz val="11"/>
        <color rgb="FF000000"/>
        <rFont val="宋体"/>
        <family val="3"/>
        <charset val="134"/>
      </rPr>
      <t>实际注液量</t>
    </r>
    <phoneticPr fontId="26" type="noConversion"/>
  </si>
  <si>
    <r>
      <rPr>
        <sz val="11"/>
        <color indexed="8"/>
        <rFont val="宋体"/>
        <family val="3"/>
        <charset val="134"/>
      </rPr>
      <t>实际注液量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family val="3"/>
        <charset val="134"/>
      </rPr>
      <t>孔隙总体积注液量</t>
    </r>
    <phoneticPr fontId="26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</si>
  <si>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壳体</t>
    </r>
    <r>
      <rPr>
        <b/>
        <sz val="12"/>
        <color indexed="8"/>
        <rFont val="Times New Roman"/>
        <family val="1"/>
      </rPr>
      <t>+</t>
    </r>
    <r>
      <rPr>
        <b/>
        <sz val="12"/>
        <color indexed="8"/>
        <rFont val="宋体"/>
        <family val="3"/>
        <charset val="134"/>
      </rPr>
      <t>零部件</t>
    </r>
    <phoneticPr fontId="26" type="noConversion"/>
  </si>
  <si>
    <r>
      <rPr>
        <sz val="11"/>
        <color indexed="8"/>
        <rFont val="宋体"/>
        <family val="3"/>
        <charset val="134"/>
      </rPr>
      <t>电池直径</t>
    </r>
    <phoneticPr fontId="26" type="noConversion"/>
  </si>
  <si>
    <r>
      <rPr>
        <sz val="11"/>
        <color indexed="8"/>
        <rFont val="宋体"/>
        <family val="3"/>
        <charset val="134"/>
      </rPr>
      <t>电池高度</t>
    </r>
    <phoneticPr fontId="26" type="noConversion"/>
  </si>
  <si>
    <r>
      <rPr>
        <sz val="11"/>
        <color indexed="8"/>
        <rFont val="宋体"/>
        <family val="3"/>
        <charset val="134"/>
      </rPr>
      <t>壳体厚度</t>
    </r>
    <phoneticPr fontId="26" type="noConversion"/>
  </si>
  <si>
    <r>
      <rPr>
        <sz val="11"/>
        <color indexed="8"/>
        <rFont val="宋体"/>
        <family val="3"/>
        <charset val="134"/>
      </rPr>
      <t>电池体积</t>
    </r>
    <phoneticPr fontId="26" type="noConversion"/>
  </si>
  <si>
    <r>
      <rPr>
        <sz val="11"/>
        <color indexed="8"/>
        <rFont val="宋体"/>
        <family val="3"/>
        <charset val="134"/>
      </rPr>
      <t>壳体重量</t>
    </r>
    <phoneticPr fontId="26" type="noConversion"/>
  </si>
  <si>
    <r>
      <rPr>
        <sz val="11"/>
        <color rgb="FF000000"/>
        <rFont val="宋体"/>
        <family val="3"/>
        <charset val="134"/>
      </rPr>
      <t>壳体单位面积质量</t>
    </r>
    <phoneticPr fontId="26" type="noConversion"/>
  </si>
  <si>
    <r>
      <rPr>
        <sz val="11"/>
        <color rgb="FF000000"/>
        <rFont val="宋体"/>
        <family val="3"/>
        <charset val="134"/>
      </rPr>
      <t>壳体密度</t>
    </r>
    <phoneticPr fontId="26" type="noConversion"/>
  </si>
  <si>
    <r>
      <rPr>
        <sz val="11"/>
        <color rgb="FF000000"/>
        <rFont val="宋体"/>
        <family val="3"/>
        <charset val="134"/>
      </rPr>
      <t>正极圆片绝缘垫质量</t>
    </r>
    <r>
      <rPr>
        <sz val="11"/>
        <color rgb="FF000000"/>
        <rFont val="Times New Roman"/>
        <family val="1"/>
      </rPr>
      <t xml:space="preserve"> 219μm</t>
    </r>
    <phoneticPr fontId="26" type="noConversion"/>
  </si>
  <si>
    <r>
      <rPr>
        <sz val="11"/>
        <color rgb="FF000000"/>
        <rFont val="宋体"/>
        <family val="3"/>
        <charset val="134"/>
      </rPr>
      <t>正极绝缘片单位面积质量</t>
    </r>
    <phoneticPr fontId="26" type="noConversion"/>
  </si>
  <si>
    <r>
      <rPr>
        <sz val="11"/>
        <color rgb="FF000000"/>
        <rFont val="宋体"/>
        <family val="3"/>
        <charset val="134"/>
      </rPr>
      <t>负极圆片绝缘垫直径</t>
    </r>
    <phoneticPr fontId="26" type="noConversion"/>
  </si>
  <si>
    <r>
      <rPr>
        <sz val="11"/>
        <color rgb="FF000000"/>
        <rFont val="宋体"/>
        <family val="3"/>
        <charset val="134"/>
      </rPr>
      <t>负极圆片绝缘垫质量</t>
    </r>
    <r>
      <rPr>
        <sz val="11"/>
        <color rgb="FF000000"/>
        <rFont val="Times New Roman"/>
        <family val="1"/>
      </rPr>
      <t xml:space="preserve"> 329μm</t>
    </r>
    <phoneticPr fontId="26" type="noConversion"/>
  </si>
  <si>
    <r>
      <rPr>
        <sz val="11"/>
        <color rgb="FF000000"/>
        <rFont val="宋体"/>
        <family val="3"/>
        <charset val="134"/>
      </rPr>
      <t>负极绝缘片单位面积质量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</si>
  <si>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极极耳密度</t>
    </r>
    <r>
      <rPr>
        <sz val="11"/>
        <color indexed="8"/>
        <rFont val="Times New Roman"/>
        <family val="1"/>
      </rPr>
      <t>(Al)</t>
    </r>
    <phoneticPr fontId="26" type="noConversion"/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</si>
  <si>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极耳密度（</t>
    </r>
    <r>
      <rPr>
        <sz val="11"/>
        <color indexed="8"/>
        <rFont val="Times New Roman"/>
        <family val="1"/>
      </rPr>
      <t>Cu/Ni</t>
    </r>
    <r>
      <rPr>
        <sz val="11"/>
        <color indexed="8"/>
        <rFont val="宋体"/>
        <family val="3"/>
        <charset val="134"/>
      </rPr>
      <t>）</t>
    </r>
    <phoneticPr fontId="26" type="noConversion"/>
  </si>
  <si>
    <r>
      <rPr>
        <sz val="11"/>
        <color rgb="FF000000"/>
        <rFont val="宋体"/>
        <family val="3"/>
        <charset val="134"/>
      </rPr>
      <t>顶盖重量</t>
    </r>
    <phoneticPr fontId="26" type="noConversion"/>
  </si>
  <si>
    <r>
      <rPr>
        <sz val="11"/>
        <color rgb="FF000000"/>
        <rFont val="宋体"/>
        <family val="3"/>
        <charset val="134"/>
      </rPr>
      <t>顶盖单位面积重量</t>
    </r>
    <phoneticPr fontId="26" type="noConversion"/>
  </si>
  <si>
    <r>
      <rPr>
        <sz val="11"/>
        <color rgb="FF000000"/>
        <rFont val="宋体"/>
        <family val="3"/>
        <charset val="134"/>
      </rPr>
      <t>内部空</t>
    </r>
    <r>
      <rPr>
        <sz val="11"/>
        <color indexed="8"/>
        <rFont val="宋体"/>
        <family val="3"/>
        <charset val="134"/>
      </rPr>
      <t>间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直径</t>
    </r>
    <phoneticPr fontId="26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</si>
  <si>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电池性能</t>
    </r>
    <phoneticPr fontId="26" type="noConversion"/>
  </si>
  <si>
    <r>
      <rPr>
        <sz val="11"/>
        <color rgb="FF000000"/>
        <rFont val="宋体"/>
        <family val="3"/>
        <charset val="134"/>
      </rPr>
      <t>负极极耳</t>
    </r>
    <r>
      <rPr>
        <sz val="11"/>
        <color rgb="FF000000"/>
        <rFont val="Times New Roman"/>
        <family val="1"/>
      </rPr>
      <t>1C</t>
    </r>
    <r>
      <rPr>
        <sz val="11"/>
        <color rgb="FF000000"/>
        <rFont val="宋体"/>
        <family val="3"/>
        <charset val="134"/>
      </rPr>
      <t>电流密度</t>
    </r>
    <phoneticPr fontId="26" type="noConversion"/>
  </si>
  <si>
    <r>
      <rPr>
        <sz val="11"/>
        <color rgb="FF000000"/>
        <rFont val="宋体"/>
        <family val="3"/>
        <charset val="134"/>
      </rPr>
      <t>正极极耳</t>
    </r>
    <r>
      <rPr>
        <sz val="11"/>
        <color rgb="FF000000"/>
        <rFont val="Times New Roman"/>
        <family val="1"/>
      </rPr>
      <t>1C</t>
    </r>
    <r>
      <rPr>
        <sz val="11"/>
        <color rgb="FF000000"/>
        <rFont val="宋体"/>
        <family val="3"/>
        <charset val="134"/>
      </rPr>
      <t>电流密度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</si>
  <si>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极第一次充电容量</t>
    </r>
    <phoneticPr fontId="26" type="noConversion"/>
  </si>
  <si>
    <r>
      <rPr>
        <sz val="11"/>
        <color rgb="FF000000"/>
        <rFont val="宋体"/>
        <family val="3"/>
        <charset val="134"/>
      </rPr>
      <t>全部容量的</t>
    </r>
    <r>
      <rPr>
        <sz val="11"/>
        <color rgb="FF000000"/>
        <rFont val="Times New Roman"/>
        <family val="1"/>
      </rPr>
      <t>N/P</t>
    </r>
    <phoneticPr fontId="26" type="noConversion"/>
  </si>
  <si>
    <t>设定N/P</t>
    <phoneticPr fontId="26" type="noConversion"/>
  </si>
  <si>
    <t>圈</t>
    <phoneticPr fontId="26" type="noConversion"/>
  </si>
  <si>
    <t>正极留白宽度</t>
    <phoneticPr fontId="26" type="noConversion"/>
  </si>
  <si>
    <t>留白区宽度</t>
    <phoneticPr fontId="26" type="noConversion"/>
  </si>
  <si>
    <r>
      <t>负</t>
    </r>
    <r>
      <rPr>
        <sz val="11"/>
        <color indexed="8"/>
        <rFont val="宋体"/>
        <family val="3"/>
        <charset val="134"/>
      </rPr>
      <t>极极片重量</t>
    </r>
    <phoneticPr fontId="26" type="noConversion"/>
  </si>
  <si>
    <r>
      <t>正极极耳厚度</t>
    </r>
    <r>
      <rPr>
        <sz val="11"/>
        <color rgb="FFFF0000"/>
        <rFont val="宋体"/>
        <family val="3"/>
        <charset val="134"/>
      </rPr>
      <t>或集流盘厚度</t>
    </r>
    <phoneticPr fontId="26" type="noConversion"/>
  </si>
  <si>
    <r>
      <t>正极极耳长度</t>
    </r>
    <r>
      <rPr>
        <sz val="11"/>
        <color rgb="FFFF0000"/>
        <rFont val="宋体"/>
        <family val="3"/>
        <charset val="134"/>
      </rPr>
      <t>或集流盘直径</t>
    </r>
    <phoneticPr fontId="26" type="noConversion"/>
  </si>
  <si>
    <r>
      <t>负极极耳厚度</t>
    </r>
    <r>
      <rPr>
        <sz val="11"/>
        <color rgb="FFFF0000"/>
        <rFont val="宋体"/>
        <family val="3"/>
        <charset val="134"/>
      </rPr>
      <t>或集流盘厚度</t>
    </r>
    <phoneticPr fontId="26" type="noConversion"/>
  </si>
  <si>
    <r>
      <t>负极极耳高度</t>
    </r>
    <r>
      <rPr>
        <sz val="11"/>
        <color rgb="FFFF0000"/>
        <rFont val="宋体"/>
        <family val="3"/>
        <charset val="134"/>
      </rPr>
      <t>或集流盘直径</t>
    </r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</si>
  <si>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极放电容量</t>
    </r>
    <phoneticPr fontId="26" type="noConversion"/>
  </si>
  <si>
    <t>g/cc</t>
    <phoneticPr fontId="26" type="noConversion"/>
  </si>
  <si>
    <r>
      <rPr>
        <sz val="12"/>
        <rFont val="宋体"/>
        <family val="3"/>
        <charset val="134"/>
      </rPr>
      <t xml:space="preserve">无极耳设计
</t>
    </r>
    <r>
      <rPr>
        <sz val="12"/>
        <rFont val="Times New Roman"/>
        <family val="1"/>
      </rPr>
      <t>4680</t>
    </r>
    <phoneticPr fontId="26" type="noConversion"/>
  </si>
  <si>
    <t>NCM811</t>
    <phoneticPr fontId="26" type="noConversion"/>
  </si>
  <si>
    <t>石墨</t>
    <phoneticPr fontId="26" type="noConversion"/>
  </si>
  <si>
    <t>/</t>
    <phoneticPr fontId="26" type="noConversion"/>
  </si>
  <si>
    <t>负极留白长</t>
    <phoneticPr fontId="26" type="noConversion"/>
  </si>
  <si>
    <t>正极外侧留白长度</t>
    <phoneticPr fontId="26" type="noConversion"/>
  </si>
  <si>
    <t>负极比正极多出长度</t>
    <phoneticPr fontId="26" type="noConversion"/>
  </si>
  <si>
    <r>
      <t xml:space="preserve">PE/PP  </t>
    </r>
    <r>
      <rPr>
        <sz val="11"/>
        <rFont val="宋体"/>
        <family val="1"/>
        <charset val="134"/>
      </rPr>
      <t>陶瓷对正极</t>
    </r>
    <phoneticPr fontId="26" type="noConversion"/>
  </si>
  <si>
    <t>正极圆片绝缘垫直径</t>
    <phoneticPr fontId="26" type="noConversion"/>
  </si>
  <si>
    <t>正极圆片绝缘垫高度</t>
    <phoneticPr fontId="26" type="noConversion"/>
  </si>
  <si>
    <t>mm</t>
    <phoneticPr fontId="26" type="noConversion"/>
  </si>
  <si>
    <t>负极顶盖整体厚度</t>
    <phoneticPr fontId="26" type="noConversion"/>
  </si>
  <si>
    <r>
      <rPr>
        <sz val="11"/>
        <color rgb="FF000000"/>
        <rFont val="宋体"/>
        <family val="3"/>
        <charset val="134"/>
      </rPr>
      <t>卷芯高度（箔材折叠预估3</t>
    </r>
    <r>
      <rPr>
        <sz val="11"/>
        <color rgb="FF000000"/>
        <rFont val="Times New Roman"/>
        <family val="3"/>
      </rPr>
      <t>mm</t>
    </r>
    <r>
      <rPr>
        <sz val="11"/>
        <color rgb="FF000000"/>
        <rFont val="宋体"/>
        <family val="3"/>
        <charset val="134"/>
      </rPr>
      <t>）</t>
    </r>
    <phoneticPr fontId="26" type="noConversion"/>
  </si>
  <si>
    <t>卷芯内核半径+隔膜和负极先卷厚度</t>
    <phoneticPr fontId="26" type="noConversion"/>
  </si>
  <si>
    <t>材料：放电克容量</t>
    <phoneticPr fontId="26" type="noConversion"/>
  </si>
  <si>
    <t>电池：发挥克放电容量</t>
    <phoneticPr fontId="26" type="noConversion"/>
  </si>
  <si>
    <t>材料：充电克容量</t>
    <phoneticPr fontId="26" type="noConversion"/>
  </si>
  <si>
    <t>活物质比例</t>
    <phoneticPr fontId="26" type="noConversion"/>
  </si>
  <si>
    <t>负极体积容量</t>
    <phoneticPr fontId="26" type="noConversion"/>
  </si>
  <si>
    <t>不可逆克容量</t>
    <phoneticPr fontId="26" type="noConversion"/>
  </si>
  <si>
    <t>mAh/cc</t>
    <phoneticPr fontId="26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</si>
  <si>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极对应部分负极不可逆容量</t>
    </r>
    <phoneticPr fontId="26" type="noConversion"/>
  </si>
  <si>
    <t>V</t>
    <phoneticPr fontId="26" type="noConversion"/>
  </si>
  <si>
    <t>cc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</si>
</sst>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0_ "/>
    <numFmt numFmtId="177" formatCode="0.00_ "/>
    <numFmt numFmtId="178" formatCode="0.0_);[Red]\(0.0\)"/>
    <numFmt numFmtId="179" formatCode="0_ "/>
    <numFmt numFmtId="180" formatCode="0_);[Red]\(0\)"/>
    <numFmt numFmtId="181" formatCode="0.0000_ "/>
    <numFmt numFmtId="182" formatCode="0.0_ "/>
    <numFmt numFmtId="183" formatCode="0.0"/>
    <numFmt numFmtId="184" formatCode="0.00_);[Red]\(0.00\)"/>
    <numFmt numFmtId="185" formatCode="0.000"/>
    <numFmt numFmtId="186" formatCode="0.0%"/>
    <numFmt numFmtId="187" formatCode="0.000_);[Red]\(0.000\)"/>
    <numFmt numFmtId="188" formatCode="0.0000_);[Red]\(0.0000\)"/>
  </numFmts>
  <fonts count="45">
    <font>
      <sz val="12"/>
      <name val="宋体"/>
      <charset val="134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MS PMincho"/>
      <family val="1"/>
    </font>
    <font>
      <sz val="11"/>
      <color rgb="FF000000"/>
      <name val="宋体"/>
      <family val="3"/>
      <charset val="134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6"/>
      <name val="ＭＳ Ｐゴシック"/>
      <family val="2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28"/>
      <name val="Times New Roman"/>
      <family val="1"/>
    </font>
    <font>
      <b/>
      <sz val="28"/>
      <name val="宋体"/>
      <family val="3"/>
      <charset val="134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1"/>
      <name val="Times New Roman"/>
      <family val="1"/>
    </font>
    <font>
      <b/>
      <sz val="12"/>
      <color indexed="8"/>
      <name val="Times New Roman"/>
      <family val="1"/>
    </font>
    <font>
      <b/>
      <sz val="11"/>
      <color rgb="FF1F497D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FF0000"/>
      <name val="宋体"/>
      <family val="3"/>
      <charset val="134"/>
    </font>
    <font>
      <sz val="11"/>
      <color rgb="FF000000"/>
      <name val="Times New Roman"/>
      <family val="3"/>
    </font>
    <font>
      <sz val="11"/>
      <color rgb="FF000000"/>
      <name val="宋体"/>
      <family val="1"/>
      <charset val="134"/>
    </font>
    <font>
      <sz val="11"/>
      <name val="宋体"/>
      <family val="1"/>
      <charset val="134"/>
    </font>
    <font>
      <sz val="11"/>
      <color rgb="FF000000"/>
      <name val="Times New Roman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9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>
      <alignment vertical="center"/>
    </xf>
    <xf numFmtId="9" fontId="7" fillId="0" borderId="0" applyFont="0" applyFill="0" applyBorder="0" applyAlignment="0" applyProtection="0"/>
    <xf numFmtId="0" fontId="10" fillId="9" borderId="7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15" fillId="0" borderId="75" applyNumberFormat="0" applyFill="0" applyAlignment="0" applyProtection="0">
      <alignment vertical="center"/>
    </xf>
    <xf numFmtId="0" fontId="16" fillId="9" borderId="76" applyNumberFormat="0" applyAlignment="0" applyProtection="0">
      <alignment vertical="center"/>
    </xf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19" fillId="12" borderId="0" applyNumberFormat="0" applyBorder="0" applyAlignment="0" applyProtection="0">
      <alignment vertical="center"/>
    </xf>
    <xf numFmtId="0" fontId="21" fillId="0" borderId="79" applyNumberFormat="0" applyFill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7" fillId="0" borderId="7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/>
    <xf numFmtId="0" fontId="23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0" fontId="7" fillId="0" borderId="0"/>
    <xf numFmtId="0" fontId="7" fillId="0" borderId="0"/>
    <xf numFmtId="0" fontId="14" fillId="10" borderId="0" applyNumberFormat="0" applyBorder="0" applyAlignment="0" applyProtection="0">
      <alignment vertical="center"/>
    </xf>
    <xf numFmtId="0" fontId="13" fillId="0" borderId="74" applyNumberFormat="0" applyFill="0" applyAlignment="0" applyProtection="0">
      <alignment vertical="center"/>
    </xf>
    <xf numFmtId="0" fontId="18" fillId="11" borderId="7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73" applyNumberFormat="0" applyFill="0" applyAlignment="0" applyProtection="0">
      <alignment vertical="center"/>
    </xf>
    <xf numFmtId="0" fontId="24" fillId="14" borderId="72" applyNumberFormat="0" applyAlignment="0" applyProtection="0">
      <alignment vertical="center"/>
    </xf>
    <xf numFmtId="0" fontId="7" fillId="15" borderId="80" applyNumberFormat="0" applyFont="0" applyAlignment="0" applyProtection="0">
      <alignment vertical="center"/>
    </xf>
  </cellStyleXfs>
  <cellXfs count="2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Continuous" vertical="center"/>
    </xf>
    <xf numFmtId="0" fontId="2" fillId="0" borderId="17" xfId="0" applyFont="1" applyBorder="1" applyAlignment="1">
      <alignment horizontal="left" wrapText="1"/>
    </xf>
    <xf numFmtId="0" fontId="2" fillId="0" borderId="18" xfId="0" applyFont="1" applyBorder="1" applyAlignment="1">
      <alignment horizontal="center" wrapText="1"/>
    </xf>
    <xf numFmtId="0" fontId="6" fillId="3" borderId="19" xfId="0" applyFont="1" applyFill="1" applyBorder="1" applyAlignment="1">
      <alignment horizont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2" xfId="0" applyFont="1" applyFill="1" applyBorder="1" applyAlignment="1">
      <alignment horizontal="center" wrapText="1"/>
    </xf>
    <xf numFmtId="183" fontId="2" fillId="6" borderId="23" xfId="0" applyNumberFormat="1" applyFont="1" applyFill="1" applyBorder="1" applyAlignment="1">
      <alignment horizontal="center" wrapText="1"/>
    </xf>
    <xf numFmtId="1" fontId="6" fillId="3" borderId="23" xfId="0" applyNumberFormat="1" applyFont="1" applyFill="1" applyBorder="1" applyAlignment="1">
      <alignment horizontal="center" wrapText="1"/>
    </xf>
    <xf numFmtId="0" fontId="2" fillId="0" borderId="21" xfId="0" applyFont="1" applyBorder="1" applyAlignment="1">
      <alignment horizontal="left" wrapText="1"/>
    </xf>
    <xf numFmtId="177" fontId="6" fillId="4" borderId="23" xfId="0" applyNumberFormat="1" applyFont="1" applyFill="1" applyBorder="1" applyAlignment="1">
      <alignment horizontal="center" wrapText="1"/>
    </xf>
    <xf numFmtId="179" fontId="6" fillId="4" borderId="23" xfId="0" applyNumberFormat="1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left" wrapText="1"/>
    </xf>
    <xf numFmtId="0" fontId="2" fillId="0" borderId="22" xfId="0" applyFont="1" applyBorder="1" applyAlignment="1">
      <alignment horizontal="center" wrapText="1"/>
    </xf>
    <xf numFmtId="186" fontId="6" fillId="3" borderId="24" xfId="0" applyNumberFormat="1" applyFont="1" applyFill="1" applyBorder="1" applyAlignment="1">
      <alignment horizontal="center" wrapText="1"/>
    </xf>
    <xf numFmtId="10" fontId="6" fillId="3" borderId="24" xfId="0" applyNumberFormat="1" applyFont="1" applyFill="1" applyBorder="1" applyAlignment="1">
      <alignment horizontal="center" wrapText="1"/>
    </xf>
    <xf numFmtId="0" fontId="2" fillId="4" borderId="26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 wrapText="1"/>
    </xf>
    <xf numFmtId="0" fontId="2" fillId="0" borderId="28" xfId="0" applyFont="1" applyBorder="1" applyAlignment="1">
      <alignment horizontal="left" wrapText="1"/>
    </xf>
    <xf numFmtId="0" fontId="2" fillId="4" borderId="29" xfId="0" applyFont="1" applyFill="1" applyBorder="1" applyAlignment="1">
      <alignment horizontal="center" wrapText="1"/>
    </xf>
    <xf numFmtId="186" fontId="6" fillId="3" borderId="15" xfId="0" applyNumberFormat="1" applyFont="1" applyFill="1" applyBorder="1" applyAlignment="1">
      <alignment horizontal="center" wrapText="1"/>
    </xf>
    <xf numFmtId="0" fontId="2" fillId="4" borderId="30" xfId="0" applyFont="1" applyFill="1" applyBorder="1" applyAlignment="1">
      <alignment horizontal="center" wrapText="1"/>
    </xf>
    <xf numFmtId="0" fontId="6" fillId="3" borderId="35" xfId="0" applyFont="1" applyFill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10" fontId="6" fillId="0" borderId="35" xfId="0" applyNumberFormat="1" applyFont="1" applyBorder="1" applyAlignment="1">
      <alignment horizontal="center" wrapText="1"/>
    </xf>
    <xf numFmtId="182" fontId="6" fillId="8" borderId="35" xfId="0" applyNumberFormat="1" applyFont="1" applyFill="1" applyBorder="1" applyAlignment="1">
      <alignment horizontal="center" wrapText="1"/>
    </xf>
    <xf numFmtId="0" fontId="2" fillId="4" borderId="39" xfId="0" applyFont="1" applyFill="1" applyBorder="1" applyAlignment="1">
      <alignment horizontal="center" wrapText="1"/>
    </xf>
    <xf numFmtId="0" fontId="2" fillId="0" borderId="41" xfId="0" applyFont="1" applyBorder="1" applyAlignment="1">
      <alignment horizontal="center" wrapText="1"/>
    </xf>
    <xf numFmtId="179" fontId="6" fillId="0" borderId="42" xfId="0" applyNumberFormat="1" applyFont="1" applyBorder="1" applyAlignment="1">
      <alignment horizontal="center" wrapText="1"/>
    </xf>
    <xf numFmtId="0" fontId="2" fillId="3" borderId="39" xfId="0" applyFont="1" applyFill="1" applyBorder="1" applyAlignment="1">
      <alignment horizontal="center" wrapText="1"/>
    </xf>
    <xf numFmtId="176" fontId="6" fillId="3" borderId="38" xfId="0" applyNumberFormat="1" applyFont="1" applyFill="1" applyBorder="1" applyAlignment="1">
      <alignment horizontal="center" wrapText="1"/>
    </xf>
    <xf numFmtId="186" fontId="6" fillId="3" borderId="38" xfId="0" applyNumberFormat="1" applyFont="1" applyFill="1" applyBorder="1" applyAlignment="1">
      <alignment horizontal="center" wrapText="1"/>
    </xf>
    <xf numFmtId="10" fontId="6" fillId="3" borderId="35" xfId="0" applyNumberFormat="1" applyFont="1" applyFill="1" applyBorder="1" applyAlignment="1">
      <alignment horizontal="center" wrapText="1"/>
    </xf>
    <xf numFmtId="10" fontId="6" fillId="3" borderId="42" xfId="0" applyNumberFormat="1" applyFont="1" applyFill="1" applyBorder="1" applyAlignment="1">
      <alignment horizontal="center" wrapText="1"/>
    </xf>
    <xf numFmtId="10" fontId="6" fillId="3" borderId="38" xfId="0" applyNumberFormat="1" applyFont="1" applyFill="1" applyBorder="1" applyAlignment="1">
      <alignment horizontal="center" wrapText="1"/>
    </xf>
    <xf numFmtId="182" fontId="1" fillId="0" borderId="0" xfId="0" applyNumberFormat="1" applyFont="1">
      <alignment vertical="center"/>
    </xf>
    <xf numFmtId="184" fontId="6" fillId="0" borderId="36" xfId="0" applyNumberFormat="1" applyFont="1" applyBorder="1" applyAlignment="1">
      <alignment horizontal="center" wrapText="1"/>
    </xf>
    <xf numFmtId="0" fontId="30" fillId="0" borderId="0" xfId="0" applyFont="1" applyAlignment="1">
      <alignment horizontal="centerContinuous" vertical="center"/>
    </xf>
    <xf numFmtId="0" fontId="32" fillId="4" borderId="16" xfId="0" applyFont="1" applyFill="1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0" fontId="33" fillId="4" borderId="30" xfId="0" applyFont="1" applyFill="1" applyBorder="1" applyAlignment="1">
      <alignment horizontal="center" wrapText="1"/>
    </xf>
    <xf numFmtId="0" fontId="6" fillId="3" borderId="24" xfId="0" applyFont="1" applyFill="1" applyBorder="1" applyAlignment="1">
      <alignment horizontal="center" wrapText="1"/>
    </xf>
    <xf numFmtId="0" fontId="2" fillId="0" borderId="40" xfId="0" applyFont="1" applyBorder="1" applyAlignment="1">
      <alignment horizontal="left" wrapText="1"/>
    </xf>
    <xf numFmtId="0" fontId="2" fillId="3" borderId="13" xfId="0" applyFont="1" applyFill="1" applyBorder="1" applyAlignment="1">
      <alignment horizontal="center" wrapText="1"/>
    </xf>
    <xf numFmtId="0" fontId="2" fillId="0" borderId="44" xfId="0" applyFont="1" applyBorder="1" applyAlignment="1">
      <alignment horizontal="left" wrapText="1"/>
    </xf>
    <xf numFmtId="0" fontId="32" fillId="4" borderId="4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left" wrapText="1"/>
    </xf>
    <xf numFmtId="0" fontId="2" fillId="0" borderId="3" xfId="0" applyFont="1" applyBorder="1" applyAlignment="1">
      <alignment horizontal="center" wrapText="1"/>
    </xf>
    <xf numFmtId="177" fontId="6" fillId="0" borderId="7" xfId="0" applyNumberFormat="1" applyFont="1" applyBorder="1" applyAlignment="1">
      <alignment horizontal="center" wrapText="1"/>
    </xf>
    <xf numFmtId="184" fontId="6" fillId="3" borderId="7" xfId="0" applyNumberFormat="1" applyFont="1" applyFill="1" applyBorder="1" applyAlignment="1">
      <alignment horizontal="center" wrapText="1"/>
    </xf>
    <xf numFmtId="0" fontId="32" fillId="4" borderId="14" xfId="0" applyFont="1" applyFill="1" applyBorder="1" applyAlignment="1">
      <alignment horizontal="center" wrapText="1"/>
    </xf>
    <xf numFmtId="186" fontId="6" fillId="3" borderId="7" xfId="4" applyNumberFormat="1" applyFont="1" applyFill="1" applyBorder="1" applyAlignment="1">
      <alignment horizontal="center" wrapText="1"/>
    </xf>
    <xf numFmtId="2" fontId="6" fillId="3" borderId="7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0" fontId="2" fillId="0" borderId="57" xfId="0" applyFont="1" applyBorder="1" applyAlignment="1">
      <alignment horizontal="left" wrapText="1"/>
    </xf>
    <xf numFmtId="0" fontId="2" fillId="0" borderId="58" xfId="0" applyFont="1" applyBorder="1" applyAlignment="1">
      <alignment horizontal="center" wrapText="1"/>
    </xf>
    <xf numFmtId="0" fontId="2" fillId="4" borderId="59" xfId="0" applyFont="1" applyFill="1" applyBorder="1" applyAlignment="1">
      <alignment horizontal="center" wrapText="1"/>
    </xf>
    <xf numFmtId="0" fontId="2" fillId="0" borderId="60" xfId="0" applyFont="1" applyBorder="1" applyAlignment="1">
      <alignment horizontal="left" wrapText="1"/>
    </xf>
    <xf numFmtId="0" fontId="3" fillId="0" borderId="60" xfId="0" applyFont="1" applyBorder="1" applyAlignment="1">
      <alignment horizontal="left" wrapText="1"/>
    </xf>
    <xf numFmtId="185" fontId="6" fillId="0" borderId="23" xfId="0" applyNumberFormat="1" applyFont="1" applyBorder="1" applyAlignment="1">
      <alignment horizontal="center" wrapText="1"/>
    </xf>
    <xf numFmtId="185" fontId="6" fillId="3" borderId="23" xfId="0" applyNumberFormat="1" applyFont="1" applyFill="1" applyBorder="1" applyAlignment="1">
      <alignment horizontal="center" wrapText="1"/>
    </xf>
    <xf numFmtId="0" fontId="2" fillId="0" borderId="61" xfId="0" applyFont="1" applyBorder="1" applyAlignment="1">
      <alignment horizontal="left" wrapText="1"/>
    </xf>
    <xf numFmtId="0" fontId="2" fillId="0" borderId="26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53" xfId="0" applyFont="1" applyBorder="1" applyAlignment="1">
      <alignment horizontal="center" wrapText="1"/>
    </xf>
    <xf numFmtId="185" fontId="6" fillId="0" borderId="33" xfId="0" applyNumberFormat="1" applyFont="1" applyBorder="1" applyAlignment="1">
      <alignment horizontal="center" wrapText="1"/>
    </xf>
    <xf numFmtId="184" fontId="6" fillId="0" borderId="43" xfId="0" applyNumberFormat="1" applyFont="1" applyBorder="1" applyAlignment="1">
      <alignment horizontal="center" wrapText="1"/>
    </xf>
    <xf numFmtId="183" fontId="6" fillId="0" borderId="7" xfId="0" applyNumberFormat="1" applyFont="1" applyBorder="1" applyAlignment="1">
      <alignment horizontal="center" wrapText="1"/>
    </xf>
    <xf numFmtId="183" fontId="6" fillId="3" borderId="7" xfId="0" applyNumberFormat="1" applyFont="1" applyFill="1" applyBorder="1" applyAlignment="1">
      <alignment horizontal="center" wrapText="1"/>
    </xf>
    <xf numFmtId="183" fontId="6" fillId="2" borderId="7" xfId="0" applyNumberFormat="1" applyFont="1" applyFill="1" applyBorder="1" applyAlignment="1">
      <alignment horizontal="center" wrapText="1"/>
    </xf>
    <xf numFmtId="2" fontId="6" fillId="0" borderId="7" xfId="0" applyNumberFormat="1" applyFont="1" applyBorder="1" applyAlignment="1">
      <alignment horizontal="center" wrapText="1"/>
    </xf>
    <xf numFmtId="0" fontId="6" fillId="3" borderId="7" xfId="4" applyNumberFormat="1" applyFont="1" applyFill="1" applyBorder="1" applyAlignment="1">
      <alignment horizontal="center" wrapText="1"/>
    </xf>
    <xf numFmtId="183" fontId="6" fillId="0" borderId="8" xfId="0" applyNumberFormat="1" applyFont="1" applyBorder="1" applyAlignment="1">
      <alignment horizontal="center" wrapText="1"/>
    </xf>
    <xf numFmtId="0" fontId="2" fillId="0" borderId="63" xfId="0" applyFont="1" applyBorder="1" applyAlignment="1">
      <alignment horizontal="center" wrapText="1"/>
    </xf>
    <xf numFmtId="185" fontId="6" fillId="0" borderId="19" xfId="0" applyNumberFormat="1" applyFont="1" applyBorder="1" applyAlignment="1">
      <alignment horizontal="center" wrapText="1"/>
    </xf>
    <xf numFmtId="2" fontId="6" fillId="0" borderId="50" xfId="0" applyNumberFormat="1" applyFont="1" applyBorder="1" applyAlignment="1">
      <alignment horizontal="center" wrapText="1"/>
    </xf>
    <xf numFmtId="2" fontId="6" fillId="0" borderId="64" xfId="0" applyNumberFormat="1" applyFont="1" applyBorder="1" applyAlignment="1">
      <alignment horizontal="center" wrapText="1"/>
    </xf>
    <xf numFmtId="2" fontId="6" fillId="0" borderId="65" xfId="0" applyNumberFormat="1" applyFont="1" applyBorder="1" applyAlignment="1">
      <alignment horizontal="center" wrapText="1"/>
    </xf>
    <xf numFmtId="185" fontId="6" fillId="0" borderId="36" xfId="0" applyNumberFormat="1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52" xfId="0" applyFont="1" applyBorder="1" applyAlignment="1">
      <alignment horizontal="left" wrapText="1"/>
    </xf>
    <xf numFmtId="183" fontId="6" fillId="3" borderId="43" xfId="0" applyNumberFormat="1" applyFont="1" applyFill="1" applyBorder="1" applyAlignment="1">
      <alignment horizontal="center" wrapText="1"/>
    </xf>
    <xf numFmtId="183" fontId="6" fillId="0" borderId="56" xfId="0" applyNumberFormat="1" applyFont="1" applyBorder="1" applyAlignment="1">
      <alignment horizontal="center" wrapText="1"/>
    </xf>
    <xf numFmtId="183" fontId="6" fillId="0" borderId="36" xfId="0" applyNumberFormat="1" applyFont="1" applyBorder="1" applyAlignment="1">
      <alignment horizontal="center" wrapText="1"/>
    </xf>
    <xf numFmtId="183" fontId="6" fillId="3" borderId="36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9" fontId="6" fillId="0" borderId="8" xfId="0" applyNumberFormat="1" applyFont="1" applyBorder="1" applyAlignment="1">
      <alignment horizontal="center" wrapText="1"/>
    </xf>
    <xf numFmtId="186" fontId="6" fillId="0" borderId="36" xfId="0" applyNumberFormat="1" applyFont="1" applyBorder="1" applyAlignment="1">
      <alignment horizontal="center" wrapText="1"/>
    </xf>
    <xf numFmtId="2" fontId="6" fillId="0" borderId="36" xfId="0" applyNumberFormat="1" applyFont="1" applyBorder="1" applyAlignment="1">
      <alignment horizontal="center" wrapText="1"/>
    </xf>
    <xf numFmtId="9" fontId="6" fillId="3" borderId="36" xfId="0" applyNumberFormat="1" applyFont="1" applyFill="1" applyBorder="1" applyAlignment="1">
      <alignment horizontal="center" wrapText="1"/>
    </xf>
    <xf numFmtId="177" fontId="6" fillId="0" borderId="36" xfId="0" applyNumberFormat="1" applyFont="1" applyBorder="1" applyAlignment="1">
      <alignment horizontal="center" wrapText="1"/>
    </xf>
    <xf numFmtId="177" fontId="6" fillId="0" borderId="43" xfId="0" applyNumberFormat="1" applyFont="1" applyBorder="1" applyAlignment="1">
      <alignment horizontal="center" wrapText="1"/>
    </xf>
    <xf numFmtId="1" fontId="6" fillId="3" borderId="12" xfId="0" applyNumberFormat="1" applyFont="1" applyFill="1" applyBorder="1" applyAlignment="1">
      <alignment horizontal="center" wrapText="1"/>
    </xf>
    <xf numFmtId="9" fontId="6" fillId="3" borderId="7" xfId="4" applyFont="1" applyFill="1" applyBorder="1" applyAlignment="1">
      <alignment horizontal="center" wrapText="1"/>
    </xf>
    <xf numFmtId="177" fontId="6" fillId="3" borderId="7" xfId="0" applyNumberFormat="1" applyFont="1" applyFill="1" applyBorder="1" applyAlignment="1">
      <alignment horizontal="center" wrapText="1"/>
    </xf>
    <xf numFmtId="185" fontId="6" fillId="0" borderId="8" xfId="0" applyNumberFormat="1" applyFont="1" applyBorder="1" applyAlignment="1">
      <alignment horizontal="center" wrapText="1"/>
    </xf>
    <xf numFmtId="177" fontId="6" fillId="0" borderId="33" xfId="0" applyNumberFormat="1" applyFont="1" applyBorder="1" applyAlignment="1">
      <alignment horizontal="center" wrapText="1"/>
    </xf>
    <xf numFmtId="0" fontId="2" fillId="0" borderId="66" xfId="0" applyFont="1" applyBorder="1" applyAlignment="1">
      <alignment horizontal="left" wrapText="1"/>
    </xf>
    <xf numFmtId="0" fontId="2" fillId="0" borderId="67" xfId="0" applyFont="1" applyBorder="1" applyAlignment="1">
      <alignment horizontal="center" wrapText="1"/>
    </xf>
    <xf numFmtId="0" fontId="3" fillId="0" borderId="25" xfId="0" applyFont="1" applyBorder="1" applyAlignment="1">
      <alignment horizontal="left" wrapText="1"/>
    </xf>
    <xf numFmtId="176" fontId="6" fillId="3" borderId="33" xfId="0" applyNumberFormat="1" applyFont="1" applyFill="1" applyBorder="1" applyAlignment="1">
      <alignment horizontal="center" wrapText="1"/>
    </xf>
    <xf numFmtId="176" fontId="6" fillId="3" borderId="24" xfId="0" applyNumberFormat="1" applyFont="1" applyFill="1" applyBorder="1" applyAlignment="1">
      <alignment horizontal="center" wrapText="1"/>
    </xf>
    <xf numFmtId="2" fontId="6" fillId="3" borderId="43" xfId="0" applyNumberFormat="1" applyFont="1" applyFill="1" applyBorder="1" applyAlignment="1">
      <alignment horizontal="center" wrapText="1"/>
    </xf>
    <xf numFmtId="0" fontId="3" fillId="0" borderId="17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6" fillId="3" borderId="23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70" xfId="0" applyFont="1" applyBorder="1" applyAlignment="1">
      <alignment horizontal="center" wrapText="1"/>
    </xf>
    <xf numFmtId="184" fontId="6" fillId="0" borderId="46" xfId="0" applyNumberFormat="1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84" fontId="6" fillId="3" borderId="47" xfId="0" applyNumberFormat="1" applyFont="1" applyFill="1" applyBorder="1" applyAlignment="1">
      <alignment horizontal="center" wrapText="1"/>
    </xf>
    <xf numFmtId="2" fontId="6" fillId="3" borderId="47" xfId="0" applyNumberFormat="1" applyFont="1" applyFill="1" applyBorder="1" applyAlignment="1">
      <alignment horizontal="center" wrapText="1"/>
    </xf>
    <xf numFmtId="2" fontId="6" fillId="0" borderId="47" xfId="0" applyNumberFormat="1" applyFont="1" applyBorder="1" applyAlignment="1">
      <alignment horizontal="center" wrapText="1"/>
    </xf>
    <xf numFmtId="0" fontId="6" fillId="3" borderId="47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left" wrapText="1"/>
    </xf>
    <xf numFmtId="0" fontId="2" fillId="4" borderId="10" xfId="0" applyFont="1" applyFill="1" applyBorder="1" applyAlignment="1">
      <alignment horizontal="center" wrapText="1"/>
    </xf>
    <xf numFmtId="2" fontId="38" fillId="0" borderId="47" xfId="0" applyNumberFormat="1" applyFont="1" applyBorder="1" applyAlignment="1">
      <alignment horizontal="center" wrapText="1"/>
    </xf>
    <xf numFmtId="183" fontId="36" fillId="0" borderId="47" xfId="0" applyNumberFormat="1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2" fillId="4" borderId="6" xfId="0" applyFont="1" applyFill="1" applyBorder="1" applyAlignment="1">
      <alignment wrapText="1"/>
    </xf>
    <xf numFmtId="2" fontId="6" fillId="4" borderId="47" xfId="0" applyNumberFormat="1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71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2" fontId="6" fillId="0" borderId="48" xfId="0" applyNumberFormat="1" applyFont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182" fontId="6" fillId="3" borderId="51" xfId="0" applyNumberFormat="1" applyFont="1" applyFill="1" applyBorder="1" applyAlignment="1">
      <alignment horizontal="center" wrapText="1"/>
    </xf>
    <xf numFmtId="10" fontId="2" fillId="3" borderId="23" xfId="0" applyNumberFormat="1" applyFont="1" applyFill="1" applyBorder="1" applyAlignment="1">
      <alignment horizontal="center" wrapText="1"/>
    </xf>
    <xf numFmtId="180" fontId="6" fillId="2" borderId="35" xfId="0" applyNumberFormat="1" applyFont="1" applyFill="1" applyBorder="1" applyAlignment="1">
      <alignment horizontal="center" wrapText="1"/>
    </xf>
    <xf numFmtId="2" fontId="6" fillId="2" borderId="7" xfId="0" applyNumberFormat="1" applyFont="1" applyFill="1" applyBorder="1" applyAlignment="1">
      <alignment horizontal="center" wrapText="1"/>
    </xf>
    <xf numFmtId="184" fontId="6" fillId="2" borderId="46" xfId="0" applyNumberFormat="1" applyFont="1" applyFill="1" applyBorder="1" applyAlignment="1">
      <alignment horizontal="center" wrapText="1"/>
    </xf>
    <xf numFmtId="177" fontId="6" fillId="2" borderId="47" xfId="0" applyNumberFormat="1" applyFont="1" applyFill="1" applyBorder="1" applyAlignment="1">
      <alignment horizontal="center" wrapText="1"/>
    </xf>
    <xf numFmtId="182" fontId="6" fillId="2" borderId="47" xfId="0" applyNumberFormat="1" applyFont="1" applyFill="1" applyBorder="1" applyAlignment="1">
      <alignment horizontal="center" wrapText="1"/>
    </xf>
    <xf numFmtId="185" fontId="2" fillId="2" borderId="36" xfId="0" applyNumberFormat="1" applyFont="1" applyFill="1" applyBorder="1" applyAlignment="1">
      <alignment horizontal="center" wrapText="1"/>
    </xf>
    <xf numFmtId="184" fontId="2" fillId="2" borderId="36" xfId="0" applyNumberFormat="1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49" xfId="0" applyFont="1" applyFill="1" applyBorder="1" applyAlignment="1">
      <alignment horizontal="center" wrapText="1"/>
    </xf>
    <xf numFmtId="183" fontId="2" fillId="2" borderId="43" xfId="0" applyNumberFormat="1" applyFont="1" applyFill="1" applyBorder="1" applyAlignment="1">
      <alignment horizontal="center" wrapText="1"/>
    </xf>
    <xf numFmtId="185" fontId="2" fillId="2" borderId="36" xfId="0" applyNumberFormat="1" applyFont="1" applyFill="1" applyBorder="1" applyAlignment="1">
      <alignment horizontal="left" wrapText="1"/>
    </xf>
    <xf numFmtId="184" fontId="2" fillId="2" borderId="36" xfId="0" applyNumberFormat="1" applyFont="1" applyFill="1" applyBorder="1" applyAlignment="1">
      <alignment horizontal="left" wrapText="1"/>
    </xf>
    <xf numFmtId="185" fontId="6" fillId="2" borderId="23" xfId="0" applyNumberFormat="1" applyFont="1" applyFill="1" applyBorder="1" applyAlignment="1">
      <alignment horizontal="center" wrapText="1"/>
    </xf>
    <xf numFmtId="184" fontId="6" fillId="0" borderId="68" xfId="0" applyNumberFormat="1" applyFont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184" fontId="6" fillId="2" borderId="23" xfId="0" applyNumberFormat="1" applyFont="1" applyFill="1" applyBorder="1" applyAlignment="1">
      <alignment horizontal="center" wrapText="1"/>
    </xf>
    <xf numFmtId="182" fontId="6" fillId="3" borderId="23" xfId="0" applyNumberFormat="1" applyFont="1" applyFill="1" applyBorder="1" applyAlignment="1">
      <alignment horizontal="center" wrapText="1"/>
    </xf>
    <xf numFmtId="183" fontId="2" fillId="7" borderId="23" xfId="0" applyNumberFormat="1" applyFont="1" applyFill="1" applyBorder="1" applyAlignment="1">
      <alignment horizontal="center" wrapText="1"/>
    </xf>
    <xf numFmtId="182" fontId="6" fillId="0" borderId="35" xfId="0" applyNumberFormat="1" applyFont="1" applyBorder="1" applyAlignment="1">
      <alignment horizontal="center" wrapText="1"/>
    </xf>
    <xf numFmtId="0" fontId="3" fillId="0" borderId="69" xfId="0" applyFont="1" applyBorder="1" applyAlignment="1">
      <alignment horizontal="left" wrapText="1"/>
    </xf>
    <xf numFmtId="0" fontId="2" fillId="0" borderId="0" xfId="0" applyFont="1" applyAlignment="1">
      <alignment horizontal="center" wrapText="1"/>
    </xf>
    <xf numFmtId="184" fontId="6" fillId="3" borderId="23" xfId="0" applyNumberFormat="1" applyFont="1" applyFill="1" applyBorder="1" applyAlignment="1">
      <alignment horizontal="center" wrapText="1"/>
    </xf>
    <xf numFmtId="181" fontId="6" fillId="2" borderId="23" xfId="0" applyNumberFormat="1" applyFont="1" applyFill="1" applyBorder="1" applyAlignment="1">
      <alignment horizontal="center" wrapText="1"/>
    </xf>
    <xf numFmtId="184" fontId="6" fillId="0" borderId="47" xfId="0" applyNumberFormat="1" applyFont="1" applyBorder="1" applyAlignment="1">
      <alignment horizontal="center" wrapText="1"/>
    </xf>
    <xf numFmtId="184" fontId="6" fillId="0" borderId="82" xfId="0" applyNumberFormat="1" applyFont="1" applyBorder="1" applyAlignment="1">
      <alignment horizontal="center" wrapText="1"/>
    </xf>
    <xf numFmtId="187" fontId="6" fillId="2" borderId="23" xfId="0" applyNumberFormat="1" applyFont="1" applyFill="1" applyBorder="1" applyAlignment="1">
      <alignment horizontal="center" wrapText="1"/>
    </xf>
    <xf numFmtId="188" fontId="6" fillId="2" borderId="23" xfId="0" applyNumberFormat="1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left" wrapText="1"/>
    </xf>
    <xf numFmtId="0" fontId="2" fillId="7" borderId="3" xfId="0" applyFont="1" applyFill="1" applyBorder="1" applyAlignment="1">
      <alignment horizontal="center" wrapText="1"/>
    </xf>
    <xf numFmtId="183" fontId="6" fillId="7" borderId="7" xfId="0" applyNumberFormat="1" applyFont="1" applyFill="1" applyBorder="1" applyAlignment="1">
      <alignment horizontal="center" wrapText="1"/>
    </xf>
    <xf numFmtId="0" fontId="1" fillId="5" borderId="81" xfId="0" applyFont="1" applyFill="1" applyBorder="1" applyAlignment="1">
      <alignment horizontal="centerContinuous" vertical="center" wrapText="1"/>
    </xf>
    <xf numFmtId="0" fontId="2" fillId="7" borderId="14" xfId="0" applyFont="1" applyFill="1" applyBorder="1" applyAlignment="1">
      <alignment horizontal="center" wrapText="1"/>
    </xf>
    <xf numFmtId="0" fontId="2" fillId="0" borderId="40" xfId="0" applyFont="1" applyBorder="1" applyAlignment="1">
      <alignment horizontal="center" wrapText="1"/>
    </xf>
    <xf numFmtId="183" fontId="2" fillId="0" borderId="40" xfId="0" applyNumberFormat="1" applyFont="1" applyBorder="1" applyAlignment="1">
      <alignment horizontal="center" wrapText="1"/>
    </xf>
    <xf numFmtId="184" fontId="2" fillId="0" borderId="40" xfId="0" applyNumberFormat="1" applyFont="1" applyBorder="1" applyAlignment="1">
      <alignment horizontal="center" wrapText="1"/>
    </xf>
    <xf numFmtId="184" fontId="2" fillId="3" borderId="40" xfId="0" applyNumberFormat="1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184" fontId="2" fillId="0" borderId="21" xfId="0" applyNumberFormat="1" applyFont="1" applyBorder="1" applyAlignment="1">
      <alignment horizontal="center" wrapText="1"/>
    </xf>
    <xf numFmtId="184" fontId="2" fillId="0" borderId="0" xfId="0" applyNumberFormat="1" applyFont="1" applyAlignment="1">
      <alignment horizontal="center" wrapText="1"/>
    </xf>
    <xf numFmtId="0" fontId="2" fillId="0" borderId="54" xfId="0" applyFont="1" applyBorder="1" applyAlignment="1">
      <alignment horizontal="left" wrapText="1"/>
    </xf>
    <xf numFmtId="0" fontId="2" fillId="0" borderId="55" xfId="0" applyFont="1" applyBorder="1" applyAlignment="1">
      <alignment horizontal="center" wrapText="1"/>
    </xf>
    <xf numFmtId="0" fontId="28" fillId="4" borderId="4" xfId="0" applyFont="1" applyFill="1" applyBorder="1" applyAlignment="1">
      <alignment horizontal="center" wrapText="1"/>
    </xf>
    <xf numFmtId="0" fontId="27" fillId="3" borderId="32" xfId="0" applyFont="1" applyFill="1" applyBorder="1" applyAlignment="1">
      <alignment horizontal="center" wrapText="1"/>
    </xf>
    <xf numFmtId="0" fontId="5" fillId="0" borderId="40" xfId="0" applyFont="1" applyBorder="1" applyAlignment="1">
      <alignment horizontal="left" wrapText="1"/>
    </xf>
    <xf numFmtId="0" fontId="5" fillId="0" borderId="22" xfId="0" applyFont="1" applyBorder="1" applyAlignment="1">
      <alignment horizontal="center" wrapText="1"/>
    </xf>
    <xf numFmtId="0" fontId="2" fillId="0" borderId="31" xfId="0" applyFont="1" applyBorder="1" applyAlignment="1">
      <alignment horizontal="center" wrapText="1"/>
    </xf>
    <xf numFmtId="0" fontId="2" fillId="0" borderId="34" xfId="0" applyFont="1" applyBorder="1" applyAlignment="1">
      <alignment horizontal="center" wrapText="1"/>
    </xf>
    <xf numFmtId="184" fontId="6" fillId="0" borderId="33" xfId="0" applyNumberFormat="1" applyFont="1" applyBorder="1" applyAlignment="1">
      <alignment horizontal="center" wrapText="1"/>
    </xf>
    <xf numFmtId="178" fontId="6" fillId="2" borderId="84" xfId="0" applyNumberFormat="1" applyFont="1" applyFill="1" applyBorder="1" applyAlignment="1">
      <alignment horizontal="center" wrapText="1"/>
    </xf>
    <xf numFmtId="183" fontId="6" fillId="2" borderId="84" xfId="0" applyNumberFormat="1" applyFont="1" applyFill="1" applyBorder="1" applyAlignment="1">
      <alignment horizontal="center" wrapText="1"/>
    </xf>
    <xf numFmtId="178" fontId="6" fillId="7" borderId="84" xfId="0" applyNumberFormat="1" applyFont="1" applyFill="1" applyBorder="1" applyAlignment="1">
      <alignment horizontal="center" wrapText="1"/>
    </xf>
    <xf numFmtId="0" fontId="5" fillId="0" borderId="62" xfId="0" applyFont="1" applyBorder="1" applyAlignment="1">
      <alignment horizontal="left" wrapText="1"/>
    </xf>
    <xf numFmtId="0" fontId="5" fillId="0" borderId="21" xfId="0" applyFont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5" fillId="0" borderId="6" xfId="0" applyFont="1" applyBorder="1" applyAlignment="1">
      <alignment horizontal="left" wrapText="1"/>
    </xf>
    <xf numFmtId="0" fontId="2" fillId="0" borderId="86" xfId="0" applyFont="1" applyBorder="1" applyAlignment="1">
      <alignment horizontal="left" wrapText="1"/>
    </xf>
    <xf numFmtId="0" fontId="2" fillId="0" borderId="9" xfId="0" applyFont="1" applyBorder="1" applyAlignment="1">
      <alignment horizontal="center" wrapText="1"/>
    </xf>
    <xf numFmtId="186" fontId="6" fillId="3" borderId="42" xfId="0" applyNumberFormat="1" applyFont="1" applyFill="1" applyBorder="1" applyAlignment="1">
      <alignment horizontal="center" wrapText="1"/>
    </xf>
    <xf numFmtId="0" fontId="2" fillId="0" borderId="81" xfId="0" applyFont="1" applyBorder="1" applyAlignment="1">
      <alignment horizontal="center" wrapText="1"/>
    </xf>
    <xf numFmtId="0" fontId="2" fillId="7" borderId="81" xfId="0" applyFont="1" applyFill="1" applyBorder="1" applyAlignment="1">
      <alignment horizontal="center" wrapText="1"/>
    </xf>
    <xf numFmtId="185" fontId="6" fillId="0" borderId="81" xfId="0" applyNumberFormat="1" applyFont="1" applyBorder="1" applyAlignment="1">
      <alignment horizontal="center" wrapText="1"/>
    </xf>
    <xf numFmtId="178" fontId="6" fillId="3" borderId="2" xfId="0" applyNumberFormat="1" applyFont="1" applyFill="1" applyBorder="1" applyAlignment="1">
      <alignment horizontal="center" wrapText="1"/>
    </xf>
    <xf numFmtId="0" fontId="2" fillId="0" borderId="83" xfId="0" applyFont="1" applyBorder="1" applyAlignment="1">
      <alignment horizontal="left" wrapText="1"/>
    </xf>
    <xf numFmtId="178" fontId="6" fillId="3" borderId="84" xfId="0" applyNumberFormat="1" applyFont="1" applyFill="1" applyBorder="1" applyAlignment="1">
      <alignment horizontal="center" wrapText="1"/>
    </xf>
    <xf numFmtId="0" fontId="2" fillId="7" borderId="83" xfId="0" applyFont="1" applyFill="1" applyBorder="1" applyAlignment="1">
      <alignment horizontal="left" wrapText="1"/>
    </xf>
    <xf numFmtId="0" fontId="42" fillId="0" borderId="83" xfId="0" applyFont="1" applyBorder="1" applyAlignment="1">
      <alignment horizontal="left" wrapText="1"/>
    </xf>
    <xf numFmtId="2" fontId="6" fillId="0" borderId="84" xfId="0" applyNumberFormat="1" applyFont="1" applyBorder="1" applyAlignment="1">
      <alignment horizontal="center" wrapText="1"/>
    </xf>
    <xf numFmtId="177" fontId="6" fillId="3" borderId="84" xfId="0" applyNumberFormat="1" applyFont="1" applyFill="1" applyBorder="1" applyAlignment="1">
      <alignment horizontal="center" wrapText="1"/>
    </xf>
    <xf numFmtId="177" fontId="6" fillId="0" borderId="84" xfId="0" applyNumberFormat="1" applyFont="1" applyBorder="1" applyAlignment="1">
      <alignment horizontal="center" wrapText="1"/>
    </xf>
    <xf numFmtId="184" fontId="6" fillId="3" borderId="84" xfId="0" applyNumberFormat="1" applyFont="1" applyFill="1" applyBorder="1" applyAlignment="1">
      <alignment horizontal="center" wrapText="1"/>
    </xf>
    <xf numFmtId="184" fontId="6" fillId="0" borderId="84" xfId="0" applyNumberFormat="1" applyFont="1" applyBorder="1" applyAlignment="1">
      <alignment horizontal="center" wrapText="1"/>
    </xf>
    <xf numFmtId="186" fontId="6" fillId="3" borderId="84" xfId="4" applyNumberFormat="1" applyFont="1" applyFill="1" applyBorder="1" applyAlignment="1">
      <alignment horizontal="center" wrapText="1"/>
    </xf>
    <xf numFmtId="183" fontId="6" fillId="0" borderId="84" xfId="0" applyNumberFormat="1" applyFont="1" applyBorder="1" applyAlignment="1">
      <alignment horizontal="center" wrapText="1"/>
    </xf>
    <xf numFmtId="2" fontId="6" fillId="3" borderId="84" xfId="0" applyNumberFormat="1" applyFont="1" applyFill="1" applyBorder="1" applyAlignment="1">
      <alignment horizontal="center" wrapText="1"/>
    </xf>
    <xf numFmtId="0" fontId="3" fillId="0" borderId="83" xfId="0" applyFont="1" applyBorder="1" applyAlignment="1">
      <alignment horizontal="left" wrapText="1"/>
    </xf>
    <xf numFmtId="10" fontId="6" fillId="3" borderId="84" xfId="4" applyNumberFormat="1" applyFont="1" applyFill="1" applyBorder="1" applyAlignment="1">
      <alignment horizontal="center" wrapText="1"/>
    </xf>
    <xf numFmtId="185" fontId="6" fillId="0" borderId="84" xfId="0" applyNumberFormat="1" applyFont="1" applyBorder="1" applyAlignment="1">
      <alignment horizontal="center" wrapText="1"/>
    </xf>
    <xf numFmtId="185" fontId="6" fillId="3" borderId="84" xfId="0" applyNumberFormat="1" applyFont="1" applyFill="1" applyBorder="1" applyAlignment="1">
      <alignment horizontal="center" wrapText="1"/>
    </xf>
    <xf numFmtId="0" fontId="5" fillId="0" borderId="83" xfId="0" applyFont="1" applyBorder="1" applyAlignment="1">
      <alignment horizontal="left" wrapText="1"/>
    </xf>
    <xf numFmtId="0" fontId="2" fillId="0" borderId="88" xfId="0" applyFont="1" applyBorder="1" applyAlignment="1">
      <alignment horizontal="left" wrapText="1"/>
    </xf>
    <xf numFmtId="0" fontId="2" fillId="0" borderId="89" xfId="0" applyFont="1" applyBorder="1" applyAlignment="1">
      <alignment horizontal="center" wrapText="1"/>
    </xf>
    <xf numFmtId="184" fontId="6" fillId="0" borderId="85" xfId="0" applyNumberFormat="1" applyFont="1" applyBorder="1" applyAlignment="1">
      <alignment horizontal="center" wrapText="1"/>
    </xf>
    <xf numFmtId="0" fontId="42" fillId="0" borderId="21" xfId="0" applyFont="1" applyBorder="1" applyAlignment="1">
      <alignment wrapText="1"/>
    </xf>
    <xf numFmtId="0" fontId="44" fillId="0" borderId="25" xfId="0" applyFont="1" applyBorder="1" applyAlignment="1">
      <alignment horizontal="left" wrapText="1"/>
    </xf>
    <xf numFmtId="178" fontId="6" fillId="3" borderId="87" xfId="0" applyNumberFormat="1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5" fillId="2" borderId="83" xfId="0" applyFont="1" applyFill="1" applyBorder="1" applyAlignment="1">
      <alignment horizontal="left" wrapText="1"/>
    </xf>
    <xf numFmtId="0" fontId="2" fillId="2" borderId="8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7" fillId="0" borderId="21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5" fillId="0" borderId="21" xfId="0" applyFont="1" applyBorder="1" applyAlignment="1">
      <alignment horizontal="left" wrapText="1"/>
    </xf>
    <xf numFmtId="0" fontId="5" fillId="0" borderId="6" xfId="0" applyFont="1" applyBorder="1" applyAlignment="1">
      <alignment wrapText="1"/>
    </xf>
  </cellXfs>
  <cellStyles count="33">
    <cellStyle name="百分比" xfId="4" builtinId="5"/>
    <cellStyle name="百分比 2 3" xfId="5"/>
    <cellStyle name="百分比 2 3 2" xfId="13"/>
    <cellStyle name="百分比 2 3 3" xfId="14"/>
    <cellStyle name="百分比 3" xfId="15"/>
    <cellStyle name="百分比 3 2" xfId="8"/>
    <cellStyle name="百分比 3 3" xfId="1"/>
    <cellStyle name="标题 1 2" xfId="6"/>
    <cellStyle name="标题 2 2" xfId="12"/>
    <cellStyle name="标题 3 2" xfId="16"/>
    <cellStyle name="标题 4 2" xfId="17"/>
    <cellStyle name="标题 5" xfId="3"/>
    <cellStyle name="標準_極板加工依頼書(523436)" xfId="18"/>
    <cellStyle name="差 2" xfId="19"/>
    <cellStyle name="常规" xfId="0" builtinId="0"/>
    <cellStyle name="常规 2" xfId="20"/>
    <cellStyle name="常规 2 2" xfId="9"/>
    <cellStyle name="常规 2 3" xfId="10"/>
    <cellStyle name="常规 3" xfId="21"/>
    <cellStyle name="常规 3 2" xfId="22"/>
    <cellStyle name="常规 4" xfId="23"/>
    <cellStyle name="常规 4 2" xfId="24"/>
    <cellStyle name="好 2" xfId="25"/>
    <cellStyle name="汇总 2" xfId="26"/>
    <cellStyle name="计算 2" xfId="2"/>
    <cellStyle name="检查单元格 2" xfId="27"/>
    <cellStyle name="解释性文本 2" xfId="28"/>
    <cellStyle name="警告文本 2" xfId="29"/>
    <cellStyle name="链接单元格 2" xfId="30"/>
    <cellStyle name="适中 2" xfId="11"/>
    <cellStyle name="输出 2" xfId="7"/>
    <cellStyle name="输入 2" xfId="31"/>
    <cellStyle name="注释 2" xfId="3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31752</xdr:colOff>
      <xdr:row>10</xdr:row>
      <xdr:rowOff>0</xdr:rowOff>
    </xdr:from>
    <xdr:to>
      <xdr:col>1</xdr:col>
      <xdr:colOff>1078095</xdr:colOff>
      <xdr:row>16</xdr:row>
      <xdr:rowOff>69850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2627313"/>
          <a:ext cx="1046343" cy="1260475"/>
        </a:xfrm>
        <a:prstGeom prst="rect">
          <a:avLst/>
        </a:prstGeom>
      </xdr:spPr>
    </xdr:pic>
    <xdr:clientData/>
  </xdr:twoCellAnchor>
  <xdr:oneCellAnchor>
    <xdr:from>
      <xdr:col>1</xdr:col>
      <xdr:colOff>829634</xdr:colOff>
      <xdr:row>12</xdr:row>
      <xdr:rowOff>25383</xdr:rowOff>
    </xdr:from>
    <xdr:ext cx="5846280" cy="992579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285393">
          <a:off x="1027461" y="3022095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 editAs="oneCell">
    <xdr:from>
      <xdr:col>1</xdr:col>
      <xdr:colOff>31752</xdr:colOff>
      <xdr:row>27</xdr:row>
      <xdr:rowOff>0</xdr:rowOff>
    </xdr:from>
    <xdr:to>
      <xdr:col>1</xdr:col>
      <xdr:colOff>1078095</xdr:colOff>
      <xdr:row>33</xdr:row>
      <xdr:rowOff>69850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61753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61</xdr:row>
      <xdr:rowOff>0</xdr:rowOff>
    </xdr:from>
    <xdr:to>
      <xdr:col>1</xdr:col>
      <xdr:colOff>1078095</xdr:colOff>
      <xdr:row>67</xdr:row>
      <xdr:rowOff>73820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12549188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89</xdr:row>
      <xdr:rowOff>0</xdr:rowOff>
    </xdr:from>
    <xdr:to>
      <xdr:col>1</xdr:col>
      <xdr:colOff>1078095</xdr:colOff>
      <xdr:row>95</xdr:row>
      <xdr:rowOff>61912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179228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23814</xdr:colOff>
      <xdr:row>117</xdr:row>
      <xdr:rowOff>0</xdr:rowOff>
    </xdr:from>
    <xdr:to>
      <xdr:col>1</xdr:col>
      <xdr:colOff>1070157</xdr:colOff>
      <xdr:row>122</xdr:row>
      <xdr:rowOff>93662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2" y="235108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171</xdr:row>
      <xdr:rowOff>0</xdr:rowOff>
    </xdr:from>
    <xdr:to>
      <xdr:col>1</xdr:col>
      <xdr:colOff>1078095</xdr:colOff>
      <xdr:row>177</xdr:row>
      <xdr:rowOff>69851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34639250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202</xdr:row>
      <xdr:rowOff>0</xdr:rowOff>
    </xdr:from>
    <xdr:to>
      <xdr:col>1</xdr:col>
      <xdr:colOff>1078095</xdr:colOff>
      <xdr:row>208</xdr:row>
      <xdr:rowOff>69850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40798750"/>
          <a:ext cx="1046343" cy="1260475"/>
        </a:xfrm>
        <a:prstGeom prst="rect">
          <a:avLst/>
        </a:prstGeom>
      </xdr:spPr>
    </xdr:pic>
    <xdr:clientData/>
  </xdr:twoCellAnchor>
  <xdr:oneCellAnchor>
    <xdr:from>
      <xdr:col>1</xdr:col>
      <xdr:colOff>483577</xdr:colOff>
      <xdr:row>47</xdr:row>
      <xdr:rowOff>14654</xdr:rowOff>
    </xdr:from>
    <xdr:ext cx="5846280" cy="992579"/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285393">
          <a:off x="681404" y="9927981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696058</xdr:colOff>
      <xdr:row>80</xdr:row>
      <xdr:rowOff>51288</xdr:rowOff>
    </xdr:from>
    <xdr:ext cx="5846280" cy="992579"/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 rot="19285393">
          <a:off x="893885" y="16309730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520211</xdr:colOff>
      <xdr:row>124</xdr:row>
      <xdr:rowOff>139212</xdr:rowOff>
    </xdr:from>
    <xdr:ext cx="5846280" cy="992579"/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9285393">
          <a:off x="718038" y="25336500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622788</xdr:colOff>
      <xdr:row>182</xdr:row>
      <xdr:rowOff>168519</xdr:rowOff>
    </xdr:from>
    <xdr:ext cx="5846280" cy="992579"/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9285393">
          <a:off x="820615" y="37301365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4"/>
  <sheetViews>
    <sheetView tabSelected="1"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defaultColWidth="9" defaultRowHeight="15.5"/>
  <cols>
    <col min="1" max="1" width="2.58203125" style="1" customWidth="1"/>
    <col min="2" max="2" width="14.83203125" style="1" customWidth="1"/>
    <col min="3" max="3" width="27.33203125" style="1" customWidth="1"/>
    <col min="4" max="4" width="12.75" style="1" customWidth="1"/>
    <col min="5" max="5" width="25.33203125" style="1" customWidth="1"/>
    <col min="6" max="16384" width="9" style="1"/>
  </cols>
  <sheetData>
    <row r="1" spans="2:5" ht="35.5">
      <c r="B1" s="40" t="s">
        <v>27</v>
      </c>
      <c r="C1" s="2"/>
      <c r="D1" s="2"/>
      <c r="E1" s="2"/>
    </row>
    <row r="2" spans="2:5" ht="45.65" customHeight="1" thickBot="1">
      <c r="B2" s="40"/>
      <c r="C2" s="2"/>
      <c r="D2" s="2"/>
      <c r="E2" s="167" t="s">
        <v>248</v>
      </c>
    </row>
    <row r="3" spans="2:5">
      <c r="B3" s="41" t="s">
        <v>28</v>
      </c>
      <c r="C3" s="3" t="s">
        <v>29</v>
      </c>
      <c r="D3" s="4" t="s">
        <v>30</v>
      </c>
      <c r="E3" s="44" t="s">
        <v>249</v>
      </c>
    </row>
    <row r="4" spans="2:5">
      <c r="B4" s="6"/>
      <c r="C4" s="226" t="s">
        <v>263</v>
      </c>
      <c r="D4" s="7" t="s">
        <v>0</v>
      </c>
      <c r="E4" s="8">
        <f>IF(E204&gt;E206,E5,E5-(E206-E204)*1000/E60)</f>
        <v>182</v>
      </c>
    </row>
    <row r="5" spans="2:5">
      <c r="B5" s="6"/>
      <c r="C5" s="226" t="s">
        <v>262</v>
      </c>
      <c r="D5" s="7" t="s">
        <v>0</v>
      </c>
      <c r="E5" s="9">
        <v>182</v>
      </c>
    </row>
    <row r="6" spans="2:5">
      <c r="B6" s="6"/>
      <c r="C6" s="226" t="s">
        <v>264</v>
      </c>
      <c r="D6" s="7" t="s">
        <v>0</v>
      </c>
      <c r="E6" s="154">
        <f t="shared" ref="E6" si="0">E5/E7</f>
        <v>191.57894736842107</v>
      </c>
    </row>
    <row r="7" spans="2:5">
      <c r="B7" s="6"/>
      <c r="C7" s="42" t="s">
        <v>155</v>
      </c>
      <c r="D7" s="7" t="s">
        <v>1</v>
      </c>
      <c r="E7" s="135">
        <v>0.95</v>
      </c>
    </row>
    <row r="8" spans="2:5">
      <c r="B8" s="6"/>
      <c r="C8" s="10" t="s">
        <v>31</v>
      </c>
      <c r="D8" s="7" t="s">
        <v>0</v>
      </c>
      <c r="E8" s="11">
        <f>E6-E5</f>
        <v>9.5789473684210691</v>
      </c>
    </row>
    <row r="9" spans="2:5">
      <c r="B9" s="6"/>
      <c r="C9" s="10" t="s">
        <v>32</v>
      </c>
      <c r="D9" s="7" t="s">
        <v>268</v>
      </c>
      <c r="E9" s="12">
        <f>E4*E51*E14</f>
        <v>627.90000000000009</v>
      </c>
    </row>
    <row r="10" spans="2:5">
      <c r="B10" s="6"/>
      <c r="C10" s="10" t="s">
        <v>156</v>
      </c>
      <c r="D10" s="13" t="s">
        <v>2</v>
      </c>
      <c r="E10" s="108">
        <v>4.6500000000000004</v>
      </c>
    </row>
    <row r="11" spans="2:5">
      <c r="B11" s="6"/>
      <c r="C11" s="10" t="s">
        <v>33</v>
      </c>
      <c r="D11" s="13" t="s">
        <v>247</v>
      </c>
      <c r="E11" s="108">
        <v>2.0499999999999998</v>
      </c>
    </row>
    <row r="12" spans="2:5">
      <c r="B12" s="6"/>
      <c r="C12" s="10" t="s">
        <v>34</v>
      </c>
      <c r="D12" s="13" t="s">
        <v>2</v>
      </c>
      <c r="E12" s="108">
        <v>1.31</v>
      </c>
    </row>
    <row r="13" spans="2:5">
      <c r="B13" s="6"/>
      <c r="C13" s="10" t="s">
        <v>35</v>
      </c>
      <c r="D13" s="13" t="s">
        <v>2</v>
      </c>
      <c r="E13" s="108">
        <v>1.77</v>
      </c>
    </row>
    <row r="14" spans="2:5">
      <c r="B14" s="6"/>
      <c r="C14" s="227" t="s">
        <v>265</v>
      </c>
      <c r="D14" s="15" t="s">
        <v>3</v>
      </c>
      <c r="E14" s="16">
        <v>0.95</v>
      </c>
    </row>
    <row r="15" spans="2:5">
      <c r="B15" s="6"/>
      <c r="C15" s="42" t="s">
        <v>36</v>
      </c>
      <c r="D15" s="7" t="s">
        <v>4</v>
      </c>
      <c r="E15" s="17">
        <v>0.02</v>
      </c>
    </row>
    <row r="16" spans="2:5">
      <c r="B16" s="6"/>
      <c r="C16" s="42" t="s">
        <v>37</v>
      </c>
      <c r="D16" s="18" t="s">
        <v>5</v>
      </c>
      <c r="E16" s="17">
        <v>0</v>
      </c>
    </row>
    <row r="17" spans="2:5" ht="16" thickBot="1">
      <c r="B17" s="19"/>
      <c r="C17" s="20" t="s">
        <v>38</v>
      </c>
      <c r="D17" s="21" t="s">
        <v>21</v>
      </c>
      <c r="E17" s="22">
        <v>0.03</v>
      </c>
    </row>
    <row r="18" spans="2:5">
      <c r="B18" s="43" t="s">
        <v>39</v>
      </c>
      <c r="C18" s="14" t="s">
        <v>40</v>
      </c>
      <c r="D18" s="182" t="s">
        <v>30</v>
      </c>
      <c r="E18" s="179" t="s">
        <v>250</v>
      </c>
    </row>
    <row r="19" spans="2:5">
      <c r="B19" s="23"/>
      <c r="C19" s="10" t="s">
        <v>41</v>
      </c>
      <c r="D19" s="183" t="s">
        <v>30</v>
      </c>
      <c r="E19" s="24" t="s">
        <v>251</v>
      </c>
    </row>
    <row r="20" spans="2:5">
      <c r="B20" s="23"/>
      <c r="C20" s="10" t="s">
        <v>42</v>
      </c>
      <c r="D20" s="183" t="s">
        <v>1</v>
      </c>
      <c r="E20" s="35">
        <v>1</v>
      </c>
    </row>
    <row r="21" spans="2:5">
      <c r="B21" s="23"/>
      <c r="C21" s="14" t="s">
        <v>43</v>
      </c>
      <c r="D21" s="25" t="s">
        <v>1</v>
      </c>
      <c r="E21" s="37">
        <v>0</v>
      </c>
    </row>
    <row r="22" spans="2:5">
      <c r="B22" s="23"/>
      <c r="C22" s="10" t="s">
        <v>44</v>
      </c>
      <c r="D22" s="26" t="s">
        <v>0</v>
      </c>
      <c r="E22" s="136">
        <f>E23/E24</f>
        <v>380.43478260869563</v>
      </c>
    </row>
    <row r="23" spans="2:5">
      <c r="B23" s="23"/>
      <c r="C23" s="10" t="s">
        <v>45</v>
      </c>
      <c r="D23" s="26" t="s">
        <v>0</v>
      </c>
      <c r="E23" s="136">
        <v>350</v>
      </c>
    </row>
    <row r="24" spans="2:5">
      <c r="B24" s="23"/>
      <c r="C24" s="10" t="s">
        <v>46</v>
      </c>
      <c r="D24" s="26" t="s">
        <v>1</v>
      </c>
      <c r="E24" s="27">
        <v>0.92</v>
      </c>
    </row>
    <row r="25" spans="2:5" ht="28.5">
      <c r="B25" s="23"/>
      <c r="C25" s="10" t="s">
        <v>157</v>
      </c>
      <c r="D25" s="26" t="s">
        <v>0</v>
      </c>
      <c r="E25" s="28">
        <f>E4*E48*E14/E80/E34</f>
        <v>311.26412841326345</v>
      </c>
    </row>
    <row r="26" spans="2:5">
      <c r="B26" s="23"/>
      <c r="C26" s="228" t="s">
        <v>267</v>
      </c>
      <c r="D26" s="29" t="s">
        <v>0</v>
      </c>
      <c r="E26" s="155">
        <f>E23-E22</f>
        <v>-30.434782608695627</v>
      </c>
    </row>
    <row r="27" spans="2:5">
      <c r="B27" s="23"/>
      <c r="C27" s="180" t="s">
        <v>266</v>
      </c>
      <c r="D27" s="30" t="s">
        <v>268</v>
      </c>
      <c r="E27" s="31">
        <f>E22*E85*E34</f>
        <v>513.58695652173913</v>
      </c>
    </row>
    <row r="28" spans="2:5">
      <c r="B28" s="23"/>
      <c r="C28" s="10" t="s">
        <v>47</v>
      </c>
      <c r="D28" s="32" t="s">
        <v>22</v>
      </c>
      <c r="E28" s="33">
        <v>2.2000000000000002</v>
      </c>
    </row>
    <row r="29" spans="2:5">
      <c r="B29" s="23"/>
      <c r="C29" s="10" t="s">
        <v>48</v>
      </c>
      <c r="D29" s="32" t="s">
        <v>4</v>
      </c>
      <c r="E29" s="33">
        <v>2.0499999999999998</v>
      </c>
    </row>
    <row r="30" spans="2:5">
      <c r="B30" s="23"/>
      <c r="C30" s="10" t="s">
        <v>49</v>
      </c>
      <c r="D30" s="32" t="s">
        <v>5</v>
      </c>
      <c r="E30" s="33">
        <v>1.31</v>
      </c>
    </row>
    <row r="31" spans="2:5">
      <c r="B31" s="23"/>
      <c r="C31" s="10" t="s">
        <v>50</v>
      </c>
      <c r="D31" s="32" t="s">
        <v>7</v>
      </c>
      <c r="E31" s="33">
        <v>1.28</v>
      </c>
    </row>
    <row r="32" spans="2:5">
      <c r="B32" s="23"/>
      <c r="C32" s="10" t="s">
        <v>51</v>
      </c>
      <c r="D32" s="32" t="s">
        <v>8</v>
      </c>
      <c r="E32" s="33">
        <v>1</v>
      </c>
    </row>
    <row r="33" spans="2:5">
      <c r="B33" s="23"/>
      <c r="C33" s="10" t="s">
        <v>52</v>
      </c>
      <c r="D33" s="32" t="s">
        <v>9</v>
      </c>
      <c r="E33" s="33">
        <v>1</v>
      </c>
    </row>
    <row r="34" spans="2:5">
      <c r="B34" s="23"/>
      <c r="C34" s="10" t="s">
        <v>53</v>
      </c>
      <c r="D34" s="32" t="s">
        <v>22</v>
      </c>
      <c r="E34" s="34">
        <v>0.95</v>
      </c>
    </row>
    <row r="35" spans="2:5">
      <c r="B35" s="23"/>
      <c r="C35" s="10" t="s">
        <v>54</v>
      </c>
      <c r="D35" s="32" t="s">
        <v>4</v>
      </c>
      <c r="E35" s="34">
        <v>0.01</v>
      </c>
    </row>
    <row r="36" spans="2:5">
      <c r="B36" s="23"/>
      <c r="C36" s="10" t="s">
        <v>55</v>
      </c>
      <c r="D36" s="32" t="s">
        <v>5</v>
      </c>
      <c r="E36" s="34">
        <v>0</v>
      </c>
    </row>
    <row r="37" spans="2:5">
      <c r="B37" s="23"/>
      <c r="C37" s="45" t="s">
        <v>56</v>
      </c>
      <c r="D37" s="46" t="s">
        <v>7</v>
      </c>
      <c r="E37" s="35">
        <v>1.4999999999999999E-2</v>
      </c>
    </row>
    <row r="38" spans="2:5">
      <c r="B38" s="23"/>
      <c r="C38" s="47" t="s">
        <v>57</v>
      </c>
      <c r="D38" s="46" t="s">
        <v>8</v>
      </c>
      <c r="E38" s="36">
        <v>0</v>
      </c>
    </row>
    <row r="39" spans="2:5" ht="16" thickBot="1">
      <c r="B39" s="23"/>
      <c r="C39" s="47" t="s">
        <v>58</v>
      </c>
      <c r="D39" s="46" t="s">
        <v>9</v>
      </c>
      <c r="E39" s="194">
        <v>2.5000000000000001E-2</v>
      </c>
    </row>
    <row r="40" spans="2:5">
      <c r="B40" s="48" t="s">
        <v>158</v>
      </c>
      <c r="C40" s="49" t="s">
        <v>59</v>
      </c>
      <c r="D40" s="50" t="s">
        <v>258</v>
      </c>
      <c r="E40" s="198">
        <f>E70-E106</f>
        <v>70.019999999999982</v>
      </c>
    </row>
    <row r="41" spans="2:5">
      <c r="B41" s="51"/>
      <c r="C41" s="199" t="s">
        <v>159</v>
      </c>
      <c r="D41" s="195" t="s">
        <v>10</v>
      </c>
      <c r="E41" s="200">
        <f>E129</f>
        <v>3285.0962517086473</v>
      </c>
    </row>
    <row r="42" spans="2:5" ht="42.5" hidden="1">
      <c r="B42" s="168" t="s">
        <v>160</v>
      </c>
      <c r="C42" s="201" t="s">
        <v>161</v>
      </c>
      <c r="D42" s="196" t="s">
        <v>10</v>
      </c>
      <c r="E42" s="187">
        <v>0</v>
      </c>
    </row>
    <row r="43" spans="2:5">
      <c r="B43" s="222"/>
      <c r="C43" s="223" t="s">
        <v>239</v>
      </c>
      <c r="D43" s="224" t="s">
        <v>258</v>
      </c>
      <c r="E43" s="185">
        <v>6</v>
      </c>
    </row>
    <row r="44" spans="2:5">
      <c r="B44" s="51"/>
      <c r="C44" s="199" t="s">
        <v>162</v>
      </c>
      <c r="D44" s="195" t="s">
        <v>10</v>
      </c>
      <c r="E44" s="185">
        <f>E41</f>
        <v>3285.0962517086473</v>
      </c>
    </row>
    <row r="45" spans="2:5">
      <c r="B45" s="51"/>
      <c r="C45" s="202" t="s">
        <v>253</v>
      </c>
      <c r="D45" s="195" t="s">
        <v>258</v>
      </c>
      <c r="E45" s="185">
        <f>E44*70%</f>
        <v>2299.5673761960529</v>
      </c>
    </row>
    <row r="46" spans="2:5">
      <c r="B46" s="51"/>
      <c r="C46" s="199" t="s">
        <v>163</v>
      </c>
      <c r="D46" s="195" t="s">
        <v>13</v>
      </c>
      <c r="E46" s="203">
        <f>E40*E44*2</f>
        <v>460044.87908927887</v>
      </c>
    </row>
    <row r="47" spans="2:5">
      <c r="B47" s="51"/>
      <c r="C47" s="199" t="s">
        <v>164</v>
      </c>
      <c r="D47" s="195" t="s">
        <v>11</v>
      </c>
      <c r="E47" s="185">
        <f>E48+E49</f>
        <v>61.230000000000004</v>
      </c>
    </row>
    <row r="48" spans="2:5">
      <c r="B48" s="51"/>
      <c r="C48" s="199" t="s">
        <v>165</v>
      </c>
      <c r="D48" s="195" t="s">
        <v>11</v>
      </c>
      <c r="E48" s="204">
        <v>58.5</v>
      </c>
    </row>
    <row r="49" spans="2:5">
      <c r="B49" s="51"/>
      <c r="C49" s="199" t="s">
        <v>60</v>
      </c>
      <c r="D49" s="195" t="s">
        <v>11</v>
      </c>
      <c r="E49" s="205">
        <f>E64*E56*0.0001*1000</f>
        <v>2.7300000000000004</v>
      </c>
    </row>
    <row r="50" spans="2:5">
      <c r="B50" s="51"/>
      <c r="C50" s="199" t="s">
        <v>61</v>
      </c>
      <c r="D50" s="195" t="s">
        <v>2</v>
      </c>
      <c r="E50" s="206">
        <v>3.45</v>
      </c>
    </row>
    <row r="51" spans="2:5">
      <c r="B51" s="51"/>
      <c r="C51" s="199" t="s">
        <v>62</v>
      </c>
      <c r="D51" s="195" t="s">
        <v>2</v>
      </c>
      <c r="E51" s="207">
        <f>E50/E14</f>
        <v>3.6315789473684212</v>
      </c>
    </row>
    <row r="52" spans="2:5">
      <c r="B52" s="56"/>
      <c r="C52" s="199" t="s">
        <v>63</v>
      </c>
      <c r="D52" s="195" t="s">
        <v>2</v>
      </c>
      <c r="E52" s="205">
        <f>1/(E14/E10+E15/E11+E16/E12+E17/E13)</f>
        <v>4.3288857930142699</v>
      </c>
    </row>
    <row r="53" spans="2:5">
      <c r="B53" s="51"/>
      <c r="C53" s="199" t="s">
        <v>64</v>
      </c>
      <c r="D53" s="195" t="s">
        <v>1</v>
      </c>
      <c r="E53" s="208">
        <v>0.01</v>
      </c>
    </row>
    <row r="54" spans="2:5">
      <c r="B54" s="51"/>
      <c r="C54" s="199" t="s">
        <v>65</v>
      </c>
      <c r="D54" s="195" t="s">
        <v>12</v>
      </c>
      <c r="E54" s="209">
        <f t="shared" ref="E54" si="1">E55/(1+E53)</f>
        <v>169.34376760193865</v>
      </c>
    </row>
    <row r="55" spans="2:5">
      <c r="B55" s="51"/>
      <c r="C55" s="199" t="s">
        <v>66</v>
      </c>
      <c r="D55" s="195" t="s">
        <v>12</v>
      </c>
      <c r="E55" s="209">
        <f>E48/E51*10000/1000+E58</f>
        <v>171.03720527795804</v>
      </c>
    </row>
    <row r="56" spans="2:5">
      <c r="B56" s="51"/>
      <c r="C56" s="199" t="s">
        <v>67</v>
      </c>
      <c r="D56" s="195" t="s">
        <v>12</v>
      </c>
      <c r="E56" s="210">
        <v>10</v>
      </c>
    </row>
    <row r="57" spans="2:5">
      <c r="B57" s="51"/>
      <c r="C57" s="211" t="s">
        <v>68</v>
      </c>
      <c r="D57" s="195" t="s">
        <v>1</v>
      </c>
      <c r="E57" s="212">
        <v>5.0000000000000001E-3</v>
      </c>
    </row>
    <row r="58" spans="2:5">
      <c r="B58" s="51"/>
      <c r="C58" s="211" t="s">
        <v>69</v>
      </c>
      <c r="D58" s="195" t="s">
        <v>2</v>
      </c>
      <c r="E58" s="203">
        <f>E56/(1+E57)</f>
        <v>9.9502487562189064</v>
      </c>
    </row>
    <row r="59" spans="2:5">
      <c r="B59" s="51"/>
      <c r="C59" s="199" t="s">
        <v>70</v>
      </c>
      <c r="D59" s="195" t="s">
        <v>14</v>
      </c>
      <c r="E59" s="203">
        <f>E48/2/1000*E46/100</f>
        <v>134.56312713361407</v>
      </c>
    </row>
    <row r="60" spans="2:5">
      <c r="B60" s="63"/>
      <c r="C60" s="199" t="s">
        <v>71</v>
      </c>
      <c r="D60" s="195" t="s">
        <v>14</v>
      </c>
      <c r="E60" s="203">
        <f>E59*E14</f>
        <v>127.83497077693336</v>
      </c>
    </row>
    <row r="61" spans="2:5">
      <c r="B61" s="63"/>
      <c r="C61" s="211" t="s">
        <v>72</v>
      </c>
      <c r="D61" s="195" t="s">
        <v>14</v>
      </c>
      <c r="E61" s="213">
        <f>E59*E15</f>
        <v>2.6912625426722814</v>
      </c>
    </row>
    <row r="62" spans="2:5">
      <c r="B62" s="63"/>
      <c r="C62" s="211" t="s">
        <v>73</v>
      </c>
      <c r="D62" s="195" t="s">
        <v>14</v>
      </c>
      <c r="E62" s="213">
        <f>E59*E16</f>
        <v>0</v>
      </c>
    </row>
    <row r="63" spans="2:5">
      <c r="B63" s="63"/>
      <c r="C63" s="199" t="s">
        <v>74</v>
      </c>
      <c r="D63" s="195" t="s">
        <v>14</v>
      </c>
      <c r="E63" s="213">
        <f>E59*E17</f>
        <v>4.0368938140084225</v>
      </c>
    </row>
    <row r="64" spans="2:5">
      <c r="B64" s="63"/>
      <c r="C64" s="199" t="s">
        <v>75</v>
      </c>
      <c r="D64" s="195" t="s">
        <v>2</v>
      </c>
      <c r="E64" s="214">
        <v>2.73</v>
      </c>
    </row>
    <row r="65" spans="2:5">
      <c r="B65" s="63"/>
      <c r="C65" s="199" t="s">
        <v>76</v>
      </c>
      <c r="D65" s="195" t="s">
        <v>14</v>
      </c>
      <c r="E65" s="197">
        <f>E49/1000*((E40*E41+E43*E45))/100</f>
        <v>6.6562817357895714</v>
      </c>
    </row>
    <row r="66" spans="2:5">
      <c r="B66" s="63"/>
      <c r="C66" s="215" t="s">
        <v>166</v>
      </c>
      <c r="D66" s="195" t="s">
        <v>14</v>
      </c>
      <c r="E66" s="213">
        <f>E48/1000*E40*E44/100+E49/1000*(E40*E41)/100</f>
        <v>140.84273973318273</v>
      </c>
    </row>
    <row r="67" spans="2:5">
      <c r="B67" s="63"/>
      <c r="C67" s="199" t="s">
        <v>167</v>
      </c>
      <c r="D67" s="195" t="s">
        <v>14</v>
      </c>
      <c r="E67" s="213">
        <f>E66</f>
        <v>140.84273973318273</v>
      </c>
    </row>
    <row r="68" spans="2:5">
      <c r="B68" s="63"/>
      <c r="C68" s="199" t="s">
        <v>77</v>
      </c>
      <c r="D68" s="195" t="s">
        <v>15</v>
      </c>
      <c r="E68" s="213">
        <f>E59/E51</f>
        <v>37.053614717951703</v>
      </c>
    </row>
    <row r="69" spans="2:5" ht="16" thickBot="1">
      <c r="B69" s="63"/>
      <c r="C69" s="216" t="s">
        <v>78</v>
      </c>
      <c r="D69" s="217" t="s">
        <v>15</v>
      </c>
      <c r="E69" s="218">
        <f>E68-E59/E52</f>
        <v>5.9686811882279507</v>
      </c>
    </row>
    <row r="70" spans="2:5">
      <c r="B70" s="48" t="s">
        <v>168</v>
      </c>
      <c r="C70" s="192" t="s">
        <v>79</v>
      </c>
      <c r="D70" s="193" t="s">
        <v>10</v>
      </c>
      <c r="E70" s="221">
        <f>E114-E106</f>
        <v>72.019999999999982</v>
      </c>
    </row>
    <row r="71" spans="2:5">
      <c r="B71" s="51"/>
      <c r="C71" s="52" t="s">
        <v>169</v>
      </c>
      <c r="D71" s="53" t="s">
        <v>10</v>
      </c>
      <c r="E71" s="74">
        <f>E74</f>
        <v>3395.0962517086473</v>
      </c>
    </row>
    <row r="72" spans="2:5" ht="42.5" hidden="1">
      <c r="B72" s="168" t="s">
        <v>170</v>
      </c>
      <c r="C72" s="164" t="s">
        <v>171</v>
      </c>
      <c r="D72" s="165" t="s">
        <v>10</v>
      </c>
      <c r="E72" s="166">
        <v>0</v>
      </c>
    </row>
    <row r="73" spans="2:5">
      <c r="B73" s="222"/>
      <c r="C73" s="223" t="s">
        <v>240</v>
      </c>
      <c r="D73" s="225" t="s">
        <v>258</v>
      </c>
      <c r="E73" s="186">
        <v>5</v>
      </c>
    </row>
    <row r="74" spans="2:5">
      <c r="B74" s="51"/>
      <c r="C74" s="52" t="s">
        <v>172</v>
      </c>
      <c r="D74" s="53" t="s">
        <v>10</v>
      </c>
      <c r="E74" s="76">
        <f>E41+E75</f>
        <v>3395.0962517086473</v>
      </c>
    </row>
    <row r="75" spans="2:5">
      <c r="B75" s="51"/>
      <c r="C75" s="191" t="s">
        <v>254</v>
      </c>
      <c r="D75" s="53" t="s">
        <v>23</v>
      </c>
      <c r="E75" s="75">
        <v>110</v>
      </c>
    </row>
    <row r="76" spans="2:5">
      <c r="B76" s="51"/>
      <c r="C76" s="191" t="s">
        <v>252</v>
      </c>
      <c r="D76" s="53" t="s">
        <v>23</v>
      </c>
      <c r="E76" s="75">
        <f>E74*0.7</f>
        <v>2376.5673761960529</v>
      </c>
    </row>
    <row r="77" spans="2:5">
      <c r="B77" s="51"/>
      <c r="C77" s="52" t="s">
        <v>173</v>
      </c>
      <c r="D77" s="53" t="s">
        <v>13</v>
      </c>
      <c r="E77" s="77">
        <f>E70*E74*2</f>
        <v>489029.66409611341</v>
      </c>
    </row>
    <row r="78" spans="2:5">
      <c r="B78" s="51"/>
      <c r="C78" s="52" t="s">
        <v>174</v>
      </c>
      <c r="D78" s="53" t="s">
        <v>13</v>
      </c>
      <c r="E78" s="77">
        <v>0</v>
      </c>
    </row>
    <row r="79" spans="2:5">
      <c r="B79" s="51"/>
      <c r="C79" s="52" t="s">
        <v>175</v>
      </c>
      <c r="D79" s="53" t="s">
        <v>11</v>
      </c>
      <c r="E79" s="137">
        <f>E80+E83</f>
        <v>40.973676234763694</v>
      </c>
    </row>
    <row r="80" spans="2:5">
      <c r="B80" s="51"/>
      <c r="C80" s="52" t="s">
        <v>80</v>
      </c>
      <c r="D80" s="53" t="s">
        <v>11</v>
      </c>
      <c r="E80" s="137">
        <f>E5*E14*E48*E212/E23/E34</f>
        <v>34.205676234763693</v>
      </c>
    </row>
    <row r="81" spans="2:5">
      <c r="B81" s="51"/>
      <c r="C81" s="52" t="s">
        <v>176</v>
      </c>
      <c r="D81" s="53" t="s">
        <v>11</v>
      </c>
      <c r="E81" s="137">
        <f>E82+E83</f>
        <v>23.870838117381847</v>
      </c>
    </row>
    <row r="82" spans="2:5">
      <c r="B82" s="51"/>
      <c r="C82" s="52" t="s">
        <v>177</v>
      </c>
      <c r="D82" s="53" t="s">
        <v>11</v>
      </c>
      <c r="E82" s="137">
        <f>E80/2</f>
        <v>17.102838117381847</v>
      </c>
    </row>
    <row r="83" spans="2:5">
      <c r="B83" s="51"/>
      <c r="C83" s="52" t="s">
        <v>81</v>
      </c>
      <c r="D83" s="53" t="s">
        <v>11</v>
      </c>
      <c r="E83" s="77">
        <f>E100*E90*0.0001*1000</f>
        <v>6.7680000000000007</v>
      </c>
    </row>
    <row r="84" spans="2:5">
      <c r="B84" s="51"/>
      <c r="C84" s="52" t="s">
        <v>82</v>
      </c>
      <c r="D84" s="53" t="s">
        <v>2</v>
      </c>
      <c r="E84" s="58">
        <v>1.35</v>
      </c>
    </row>
    <row r="85" spans="2:5">
      <c r="B85" s="51"/>
      <c r="C85" s="52" t="s">
        <v>83</v>
      </c>
      <c r="D85" s="53" t="s">
        <v>2</v>
      </c>
      <c r="E85" s="77">
        <f>E84/E34</f>
        <v>1.4210526315789476</v>
      </c>
    </row>
    <row r="86" spans="2:5">
      <c r="B86" s="51"/>
      <c r="C86" s="52" t="s">
        <v>84</v>
      </c>
      <c r="D86" s="53" t="s">
        <v>2</v>
      </c>
      <c r="E86" s="77">
        <f>1/(E34/E28+E35/E29+E36/E30+E37/E31+E39/E33)</f>
        <v>2.1123116947744731</v>
      </c>
    </row>
    <row r="87" spans="2:5">
      <c r="B87" s="51"/>
      <c r="C87" s="52" t="s">
        <v>85</v>
      </c>
      <c r="D87" s="53" t="s">
        <v>1</v>
      </c>
      <c r="E87" s="57">
        <v>0</v>
      </c>
    </row>
    <row r="88" spans="2:5">
      <c r="B88" s="51"/>
      <c r="C88" s="52" t="s">
        <v>86</v>
      </c>
      <c r="D88" s="53" t="s">
        <v>12</v>
      </c>
      <c r="E88" s="74">
        <f t="shared" ref="E88" si="2">E89/(1+E87)</f>
        <v>248.70661054092966</v>
      </c>
    </row>
    <row r="89" spans="2:5">
      <c r="B89" s="51"/>
      <c r="C89" s="52" t="s">
        <v>87</v>
      </c>
      <c r="D89" s="53" t="s">
        <v>12</v>
      </c>
      <c r="E89" s="74">
        <f t="shared" ref="E89" si="3">E80/E85*10000/1000+E92</f>
        <v>248.70661054092966</v>
      </c>
    </row>
    <row r="90" spans="2:5">
      <c r="B90" s="51"/>
      <c r="C90" s="52" t="s">
        <v>88</v>
      </c>
      <c r="D90" s="53" t="s">
        <v>12</v>
      </c>
      <c r="E90" s="78">
        <v>8</v>
      </c>
    </row>
    <row r="91" spans="2:5">
      <c r="B91" s="51"/>
      <c r="C91" s="52" t="s">
        <v>68</v>
      </c>
      <c r="D91" s="53" t="s">
        <v>1</v>
      </c>
      <c r="E91" s="75">
        <v>0</v>
      </c>
    </row>
    <row r="92" spans="2:5" ht="16" thickBot="1">
      <c r="B92" s="51"/>
      <c r="C92" s="59" t="s">
        <v>89</v>
      </c>
      <c r="D92" s="60" t="s">
        <v>12</v>
      </c>
      <c r="E92" s="79">
        <f t="shared" ref="E92" si="4">E90/(1+E91)</f>
        <v>8</v>
      </c>
    </row>
    <row r="93" spans="2:5">
      <c r="B93" s="63"/>
      <c r="C93" s="61" t="s">
        <v>90</v>
      </c>
      <c r="D93" s="80" t="s">
        <v>14</v>
      </c>
      <c r="E93" s="81">
        <f>E80/2/1000*E77/100+E82/1000*E78/100</f>
        <v>83.637951796334491</v>
      </c>
    </row>
    <row r="94" spans="2:5">
      <c r="B94" s="63"/>
      <c r="C94" s="65" t="s">
        <v>91</v>
      </c>
      <c r="D94" s="69" t="s">
        <v>14</v>
      </c>
      <c r="E94" s="66">
        <f>E93*E34</f>
        <v>79.456054206517763</v>
      </c>
    </row>
    <row r="95" spans="2:5">
      <c r="B95" s="63"/>
      <c r="C95" s="64" t="s">
        <v>92</v>
      </c>
      <c r="D95" s="15" t="s">
        <v>14</v>
      </c>
      <c r="E95" s="66">
        <f>E93*E35</f>
        <v>0.83637951796334498</v>
      </c>
    </row>
    <row r="96" spans="2:5">
      <c r="B96" s="63"/>
      <c r="C96" s="64" t="s">
        <v>93</v>
      </c>
      <c r="D96" s="15" t="s">
        <v>14</v>
      </c>
      <c r="E96" s="66">
        <f>E93*E36</f>
        <v>0</v>
      </c>
    </row>
    <row r="97" spans="2:5">
      <c r="B97" s="63"/>
      <c r="C97" s="64" t="s">
        <v>8</v>
      </c>
      <c r="D97" s="15" t="s">
        <v>14</v>
      </c>
      <c r="E97" s="66">
        <f>E93*E38</f>
        <v>0</v>
      </c>
    </row>
    <row r="98" spans="2:5">
      <c r="B98" s="63"/>
      <c r="C98" s="64" t="s">
        <v>94</v>
      </c>
      <c r="D98" s="15" t="s">
        <v>14</v>
      </c>
      <c r="E98" s="66">
        <f>E93*E39</f>
        <v>2.0909487949083623</v>
      </c>
    </row>
    <row r="99" spans="2:5">
      <c r="B99" s="63"/>
      <c r="C99" s="64" t="s">
        <v>95</v>
      </c>
      <c r="D99" s="15" t="s">
        <v>14</v>
      </c>
      <c r="E99" s="66">
        <f>E93*E37</f>
        <v>1.2545692769450174</v>
      </c>
    </row>
    <row r="100" spans="2:5">
      <c r="B100" s="63"/>
      <c r="C100" s="64" t="s">
        <v>96</v>
      </c>
      <c r="D100" s="15" t="s">
        <v>2</v>
      </c>
      <c r="E100" s="67">
        <v>8.4600000000000009</v>
      </c>
    </row>
    <row r="101" spans="2:5">
      <c r="B101" s="63"/>
      <c r="C101" s="68" t="s">
        <v>97</v>
      </c>
      <c r="D101" s="69" t="s">
        <v>14</v>
      </c>
      <c r="E101" s="82">
        <f>E83/1000*((E70*E71+E73*E76))/100</f>
        <v>17.352994233117226</v>
      </c>
    </row>
    <row r="102" spans="2:5">
      <c r="B102" s="63"/>
      <c r="C102" s="68" t="s">
        <v>178</v>
      </c>
      <c r="D102" s="69" t="s">
        <v>14</v>
      </c>
      <c r="E102" s="83">
        <f>E80/1000*(E70*E74)/100+E82/1000*(E70*E75)/100+E83/1000*(E70*E71)/100</f>
        <v>101.54163667068221</v>
      </c>
    </row>
    <row r="103" spans="2:5" ht="16" thickBot="1">
      <c r="B103" s="63"/>
      <c r="C103" s="188" t="s">
        <v>241</v>
      </c>
      <c r="D103" s="70" t="s">
        <v>14</v>
      </c>
      <c r="E103" s="84">
        <f>E102</f>
        <v>101.54163667068221</v>
      </c>
    </row>
    <row r="104" spans="2:5">
      <c r="B104" s="23"/>
      <c r="C104" s="147" t="s">
        <v>98</v>
      </c>
      <c r="D104" s="141" t="s">
        <v>15</v>
      </c>
      <c r="E104" s="85">
        <f>E93/E85</f>
        <v>58.856336449272412</v>
      </c>
    </row>
    <row r="105" spans="2:5" ht="16" thickBot="1">
      <c r="B105" s="23"/>
      <c r="C105" s="148" t="s">
        <v>99</v>
      </c>
      <c r="D105" s="142" t="s">
        <v>15</v>
      </c>
      <c r="E105" s="39">
        <f>E104-E93/E86</f>
        <v>19.260877122298261</v>
      </c>
    </row>
    <row r="106" spans="2:5">
      <c r="B106" s="48" t="s">
        <v>179</v>
      </c>
      <c r="C106" s="49" t="s">
        <v>100</v>
      </c>
      <c r="D106" s="143" t="s">
        <v>10</v>
      </c>
      <c r="E106" s="138">
        <v>2</v>
      </c>
    </row>
    <row r="107" spans="2:5">
      <c r="B107" s="51"/>
      <c r="C107" s="52" t="s">
        <v>180</v>
      </c>
      <c r="D107" s="144" t="s">
        <v>10</v>
      </c>
      <c r="E107" s="139">
        <v>2</v>
      </c>
    </row>
    <row r="108" spans="2:5">
      <c r="B108" s="51"/>
      <c r="C108" s="52" t="s">
        <v>181</v>
      </c>
      <c r="D108" s="144" t="s">
        <v>10</v>
      </c>
      <c r="E108" s="140">
        <f>E71-E41</f>
        <v>110</v>
      </c>
    </row>
    <row r="109" spans="2:5">
      <c r="B109" s="51"/>
      <c r="C109" s="52" t="s">
        <v>182</v>
      </c>
      <c r="D109" s="145" t="s">
        <v>26</v>
      </c>
      <c r="E109" s="134">
        <v>25</v>
      </c>
    </row>
    <row r="110" spans="2:5">
      <c r="B110" s="51"/>
      <c r="C110" s="52" t="s">
        <v>183</v>
      </c>
      <c r="D110" s="145" t="s">
        <v>26</v>
      </c>
      <c r="E110" s="134">
        <f>E108-E109</f>
        <v>85</v>
      </c>
    </row>
    <row r="111" spans="2:5">
      <c r="B111" s="51"/>
      <c r="C111" s="52" t="s">
        <v>184</v>
      </c>
      <c r="D111" s="145" t="s">
        <v>143</v>
      </c>
      <c r="E111" s="134">
        <v>100</v>
      </c>
    </row>
    <row r="112" spans="2:5" ht="16" thickBot="1">
      <c r="B112" s="51"/>
      <c r="C112" s="52" t="s">
        <v>185</v>
      </c>
      <c r="D112" s="146" t="s">
        <v>10</v>
      </c>
      <c r="E112" s="88">
        <v>100</v>
      </c>
    </row>
    <row r="113" spans="2:5">
      <c r="B113" s="51"/>
      <c r="C113" s="49" t="s">
        <v>112</v>
      </c>
      <c r="D113" s="50" t="s">
        <v>6</v>
      </c>
      <c r="E113" s="99" t="s">
        <v>255</v>
      </c>
    </row>
    <row r="114" spans="2:5">
      <c r="B114" s="51"/>
      <c r="C114" s="52" t="s">
        <v>186</v>
      </c>
      <c r="D114" s="53" t="s">
        <v>10</v>
      </c>
      <c r="E114" s="75">
        <f>E138-0.55</f>
        <v>74.019999999999982</v>
      </c>
    </row>
    <row r="115" spans="2:5">
      <c r="B115" s="51"/>
      <c r="C115" s="52" t="s">
        <v>113</v>
      </c>
      <c r="D115" s="53" t="s">
        <v>12</v>
      </c>
      <c r="E115" s="55">
        <v>10</v>
      </c>
    </row>
    <row r="116" spans="2:5">
      <c r="B116" s="51"/>
      <c r="C116" s="52" t="s">
        <v>114</v>
      </c>
      <c r="D116" s="53" t="s">
        <v>1</v>
      </c>
      <c r="E116" s="100">
        <v>0.49</v>
      </c>
    </row>
    <row r="117" spans="2:5">
      <c r="B117" s="63"/>
      <c r="C117" s="52" t="s">
        <v>115</v>
      </c>
      <c r="D117" s="53" t="s">
        <v>15</v>
      </c>
      <c r="E117" s="54">
        <f>E115/10000*E114*E130/100</f>
        <v>2.5796682455147404</v>
      </c>
    </row>
    <row r="118" spans="2:5">
      <c r="B118" s="63"/>
      <c r="C118" s="52" t="s">
        <v>116</v>
      </c>
      <c r="D118" s="53" t="s">
        <v>2</v>
      </c>
      <c r="E118" s="101">
        <v>1</v>
      </c>
    </row>
    <row r="119" spans="2:5">
      <c r="B119" s="63"/>
      <c r="C119" s="52" t="s">
        <v>117</v>
      </c>
      <c r="D119" s="53" t="s">
        <v>14</v>
      </c>
      <c r="E119" s="54">
        <f>E117*E118*2</f>
        <v>5.1593364910294808</v>
      </c>
    </row>
    <row r="120" spans="2:5" ht="16" thickBot="1">
      <c r="B120" s="63"/>
      <c r="C120" s="92" t="s">
        <v>118</v>
      </c>
      <c r="D120" s="60" t="s">
        <v>15</v>
      </c>
      <c r="E120" s="102">
        <f t="shared" ref="E120" si="5">E117*E116</f>
        <v>1.2640374403022228</v>
      </c>
    </row>
    <row r="121" spans="2:5" ht="28.5">
      <c r="B121" s="63"/>
      <c r="C121" s="180" t="s">
        <v>261</v>
      </c>
      <c r="D121" s="169" t="s">
        <v>148</v>
      </c>
      <c r="E121" s="169">
        <v>3</v>
      </c>
    </row>
    <row r="122" spans="2:5">
      <c r="B122" s="63"/>
      <c r="C122" s="45" t="s">
        <v>187</v>
      </c>
      <c r="D122" s="169" t="s">
        <v>188</v>
      </c>
      <c r="E122" s="170">
        <f>E121/2/(E131/1000)</f>
        <v>3.411076963542309</v>
      </c>
    </row>
    <row r="123" spans="2:5">
      <c r="B123" s="63"/>
      <c r="C123" s="45" t="s">
        <v>189</v>
      </c>
      <c r="D123" s="169" t="s">
        <v>151</v>
      </c>
      <c r="E123" s="172">
        <v>0.3</v>
      </c>
    </row>
    <row r="124" spans="2:5">
      <c r="B124" s="63"/>
      <c r="C124" s="45" t="s">
        <v>190</v>
      </c>
      <c r="D124" s="169" t="s">
        <v>151</v>
      </c>
      <c r="E124" s="170">
        <f>E190-E123</f>
        <v>44.74</v>
      </c>
    </row>
    <row r="125" spans="2:5">
      <c r="B125" s="63"/>
      <c r="C125" s="45" t="s">
        <v>191</v>
      </c>
      <c r="D125" s="169" t="s">
        <v>192</v>
      </c>
      <c r="E125" s="170">
        <f>E190*0.955/2/(E131/1000)</f>
        <v>48.907111882746015</v>
      </c>
    </row>
    <row r="126" spans="2:5">
      <c r="B126" s="23"/>
      <c r="C126" s="45" t="s">
        <v>193</v>
      </c>
      <c r="D126" s="169" t="s">
        <v>188</v>
      </c>
      <c r="E126" s="170">
        <f>E125-E122</f>
        <v>45.496034919203709</v>
      </c>
    </row>
    <row r="127" spans="2:5">
      <c r="B127" s="23"/>
      <c r="C127" s="45" t="s">
        <v>194</v>
      </c>
      <c r="D127" s="169" t="s">
        <v>151</v>
      </c>
      <c r="E127" s="170">
        <f>E132/1000/2*(E122*2*3.14*SQRT(1+(E122*2*3.14)^2)+LN(E122*2*3.14+SQRT(1+(E122*2*3.14)^2)))</f>
        <v>16.207038114777482</v>
      </c>
    </row>
    <row r="128" spans="2:5">
      <c r="B128" s="23"/>
      <c r="C128" s="45" t="s">
        <v>195</v>
      </c>
      <c r="D128" s="169" t="s">
        <v>151</v>
      </c>
      <c r="E128" s="170">
        <f>E132/1000/2*(E125*2*3.14*SQRT(1+(E125*2*3.14)^2)+LN(E125*2*3.14+SQRT(1+(E125*2*3.14)^2)))</f>
        <v>3301.3032898234246</v>
      </c>
    </row>
    <row r="129" spans="2:6">
      <c r="B129" s="23"/>
      <c r="C129" s="45" t="s">
        <v>196</v>
      </c>
      <c r="D129" s="169" t="s">
        <v>151</v>
      </c>
      <c r="E129" s="170">
        <f>E128-E127</f>
        <v>3285.0962517086473</v>
      </c>
    </row>
    <row r="130" spans="2:6">
      <c r="B130" s="23"/>
      <c r="C130" s="10" t="s">
        <v>197</v>
      </c>
      <c r="D130" s="173" t="s">
        <v>149</v>
      </c>
      <c r="E130" s="174">
        <f>E41+E111+E112</f>
        <v>3485.0962517086473</v>
      </c>
    </row>
    <row r="131" spans="2:6" ht="46">
      <c r="B131" s="23"/>
      <c r="C131" s="87" t="s">
        <v>198</v>
      </c>
      <c r="D131" s="169" t="s">
        <v>150</v>
      </c>
      <c r="E131" s="171">
        <f>E55+E89+E115*2</f>
        <v>439.7438158188877</v>
      </c>
    </row>
    <row r="132" spans="2:6" ht="17.5" thickBot="1">
      <c r="B132" s="23"/>
      <c r="C132" s="87" t="s">
        <v>199</v>
      </c>
      <c r="D132" s="157" t="s">
        <v>152</v>
      </c>
      <c r="E132" s="175">
        <f>E131/2/3.14159</f>
        <v>69.987461097547381</v>
      </c>
    </row>
    <row r="133" spans="2:6">
      <c r="B133" s="23"/>
      <c r="C133" s="176" t="s">
        <v>200</v>
      </c>
      <c r="D133" s="177" t="s">
        <v>201</v>
      </c>
      <c r="E133" s="89">
        <f>E126</f>
        <v>45.496034919203709</v>
      </c>
    </row>
    <row r="134" spans="2:6">
      <c r="B134" s="23"/>
      <c r="C134" s="10" t="s">
        <v>202</v>
      </c>
      <c r="D134" s="15" t="s">
        <v>188</v>
      </c>
      <c r="E134" s="90">
        <f t="shared" ref="E134" si="6">E133+7</f>
        <v>52.496034919203709</v>
      </c>
    </row>
    <row r="135" spans="2:6">
      <c r="B135" s="23"/>
      <c r="C135" s="10" t="s">
        <v>203</v>
      </c>
      <c r="D135" s="181" t="s">
        <v>238</v>
      </c>
      <c r="E135" s="91">
        <f t="shared" ref="E135" si="7">E126+19</f>
        <v>64.496034919203709</v>
      </c>
    </row>
    <row r="136" spans="2:6" ht="16" thickBot="1">
      <c r="B136" s="51"/>
      <c r="C136" s="92" t="s">
        <v>101</v>
      </c>
      <c r="D136" s="60" t="s">
        <v>102</v>
      </c>
      <c r="E136" s="93">
        <f>E46/(E77+E78)</f>
        <v>0.94073000651114302</v>
      </c>
    </row>
    <row r="137" spans="2:6">
      <c r="B137" s="51"/>
      <c r="C137" s="14" t="s">
        <v>204</v>
      </c>
      <c r="D137" s="71" t="s">
        <v>10</v>
      </c>
      <c r="E137" s="184">
        <f>E124+2*E115/1000+((E89-E92)/2+E92)/1000</f>
        <v>44.888353305270471</v>
      </c>
      <c r="F137" s="1">
        <f t="shared" ref="F137" si="8">F124+2*F115/1000+((F89-F92)/2+F92)/1000</f>
        <v>0</v>
      </c>
    </row>
    <row r="138" spans="2:6">
      <c r="B138" s="23"/>
      <c r="C138" s="220" t="s">
        <v>260</v>
      </c>
      <c r="D138" s="71" t="s">
        <v>10</v>
      </c>
      <c r="E138" s="72">
        <f>E189-E173-E178-3</f>
        <v>74.569999999999979</v>
      </c>
    </row>
    <row r="139" spans="2:6">
      <c r="B139" s="23"/>
      <c r="C139" s="10" t="s">
        <v>205</v>
      </c>
      <c r="D139" s="15" t="s">
        <v>10</v>
      </c>
      <c r="E139" s="85">
        <f>E190-E137</f>
        <v>0.15164669472952852</v>
      </c>
    </row>
    <row r="140" spans="2:6">
      <c r="B140" s="23"/>
      <c r="C140" s="10" t="s">
        <v>206</v>
      </c>
      <c r="D140" s="15" t="s">
        <v>1</v>
      </c>
      <c r="E140" s="94">
        <f>E139/E188</f>
        <v>4.2124081869313476E-2</v>
      </c>
    </row>
    <row r="141" spans="2:6">
      <c r="B141" s="23"/>
      <c r="C141" s="10" t="s">
        <v>103</v>
      </c>
      <c r="D141" s="15" t="s">
        <v>10</v>
      </c>
      <c r="E141" s="95">
        <f>E189-E138</f>
        <v>3.6600000000000108</v>
      </c>
    </row>
    <row r="142" spans="2:6">
      <c r="B142" s="23"/>
      <c r="C142" s="10" t="s">
        <v>104</v>
      </c>
      <c r="D142" s="15" t="s">
        <v>1</v>
      </c>
      <c r="E142" s="94">
        <f>E141/E189</f>
        <v>4.6785120797648107E-2</v>
      </c>
    </row>
    <row r="143" spans="2:6">
      <c r="B143" s="23"/>
      <c r="C143" s="10" t="s">
        <v>207</v>
      </c>
      <c r="D143" s="15" t="s">
        <v>1</v>
      </c>
      <c r="E143" s="96">
        <v>0</v>
      </c>
    </row>
    <row r="144" spans="2:6">
      <c r="B144" s="23"/>
      <c r="C144" s="10" t="s">
        <v>105</v>
      </c>
      <c r="D144" s="15" t="s">
        <v>1</v>
      </c>
      <c r="E144" s="96">
        <v>8.0000000000000002E-3</v>
      </c>
    </row>
    <row r="145" spans="2:5">
      <c r="B145" s="23"/>
      <c r="C145" s="10" t="s">
        <v>106</v>
      </c>
      <c r="D145" s="15" t="s">
        <v>12</v>
      </c>
      <c r="E145" s="90">
        <f>E55*(1+E143)</f>
        <v>171.03720527795804</v>
      </c>
    </row>
    <row r="146" spans="2:5">
      <c r="B146" s="23"/>
      <c r="C146" s="10" t="s">
        <v>107</v>
      </c>
      <c r="D146" s="15" t="s">
        <v>12</v>
      </c>
      <c r="E146" s="90">
        <f>E89*(1+E144)</f>
        <v>250.69626342525709</v>
      </c>
    </row>
    <row r="147" spans="2:5">
      <c r="B147" s="23"/>
      <c r="C147" s="10" t="s">
        <v>108</v>
      </c>
      <c r="D147" s="15" t="s">
        <v>2</v>
      </c>
      <c r="E147" s="95">
        <f>E84/(1+E144)</f>
        <v>1.3392857142857144</v>
      </c>
    </row>
    <row r="148" spans="2:5">
      <c r="B148" s="23"/>
      <c r="C148" s="10" t="s">
        <v>109</v>
      </c>
      <c r="D148" s="15" t="s">
        <v>15</v>
      </c>
      <c r="E148" s="97">
        <f>E69+E105</f>
        <v>25.229558310526212</v>
      </c>
    </row>
    <row r="149" spans="2:5">
      <c r="B149" s="23"/>
      <c r="C149" s="10" t="s">
        <v>110</v>
      </c>
      <c r="D149" s="15" t="s">
        <v>1</v>
      </c>
      <c r="E149" s="96">
        <v>1</v>
      </c>
    </row>
    <row r="150" spans="2:5">
      <c r="B150" s="23"/>
      <c r="C150" s="45" t="s">
        <v>111</v>
      </c>
      <c r="D150" s="69" t="s">
        <v>15</v>
      </c>
      <c r="E150" s="98">
        <f t="shared" ref="E150" si="9">E148*E149</f>
        <v>25.229558310526212</v>
      </c>
    </row>
    <row r="151" spans="2:5">
      <c r="B151" s="23"/>
      <c r="C151" s="14" t="s">
        <v>208</v>
      </c>
      <c r="D151" s="71" t="s">
        <v>15</v>
      </c>
      <c r="E151" s="103">
        <f>E68+E104+E117+E65/E64+E101/E100</f>
        <v>102.9789992021893</v>
      </c>
    </row>
    <row r="152" spans="2:5">
      <c r="B152" s="23"/>
      <c r="C152" s="10" t="s">
        <v>209</v>
      </c>
      <c r="D152" s="15" t="s">
        <v>14</v>
      </c>
      <c r="E152" s="97">
        <f>E59+E93+E65+E101+E119</f>
        <v>247.36969138988482</v>
      </c>
    </row>
    <row r="153" spans="2:5" ht="16" thickBot="1">
      <c r="B153" s="23"/>
      <c r="C153" s="104" t="s">
        <v>210</v>
      </c>
      <c r="D153" s="105" t="s">
        <v>15</v>
      </c>
      <c r="E153" s="150">
        <f>E148+E120</f>
        <v>26.493595750828433</v>
      </c>
    </row>
    <row r="154" spans="2:5">
      <c r="B154" s="23"/>
      <c r="C154" s="106" t="s">
        <v>119</v>
      </c>
      <c r="D154" s="71" t="s">
        <v>2</v>
      </c>
      <c r="E154" s="107">
        <v>1.22</v>
      </c>
    </row>
    <row r="155" spans="2:5">
      <c r="B155" s="23"/>
      <c r="C155" s="10" t="s">
        <v>211</v>
      </c>
      <c r="D155" s="15" t="s">
        <v>14</v>
      </c>
      <c r="E155" s="95">
        <f t="shared" ref="E155" si="10">E154*E153</f>
        <v>32.322186816010685</v>
      </c>
    </row>
    <row r="156" spans="2:5">
      <c r="B156" s="23"/>
      <c r="C156" s="45" t="s">
        <v>212</v>
      </c>
      <c r="D156" s="15" t="s">
        <v>14</v>
      </c>
      <c r="E156" s="109">
        <f>E155*E157</f>
        <v>48.483280224016028</v>
      </c>
    </row>
    <row r="157" spans="2:5" ht="16" thickBot="1">
      <c r="B157" s="23"/>
      <c r="C157" s="156" t="s">
        <v>213</v>
      </c>
      <c r="D157" s="71" t="s">
        <v>146</v>
      </c>
      <c r="E157" s="73">
        <v>1.5</v>
      </c>
    </row>
    <row r="158" spans="2:5">
      <c r="B158" s="41" t="s">
        <v>214</v>
      </c>
      <c r="C158" s="110" t="s">
        <v>215</v>
      </c>
      <c r="D158" s="62" t="s">
        <v>10</v>
      </c>
      <c r="E158" s="5">
        <v>46</v>
      </c>
    </row>
    <row r="159" spans="2:5">
      <c r="B159" s="6"/>
      <c r="C159" s="111" t="s">
        <v>216</v>
      </c>
      <c r="D159" s="15" t="s">
        <v>26</v>
      </c>
      <c r="E159" s="67">
        <v>80</v>
      </c>
    </row>
    <row r="160" spans="2:5">
      <c r="B160" s="6"/>
      <c r="C160" s="111" t="s">
        <v>217</v>
      </c>
      <c r="D160" s="15" t="s">
        <v>10</v>
      </c>
      <c r="E160" s="67">
        <v>0.48</v>
      </c>
    </row>
    <row r="161" spans="2:5">
      <c r="B161" s="6"/>
      <c r="C161" s="111" t="s">
        <v>218</v>
      </c>
      <c r="D161" s="15" t="s">
        <v>144</v>
      </c>
      <c r="E161" s="149">
        <f>PI()*((E158)/2)^2*(E159)/1000</f>
        <v>132.95220109992002</v>
      </c>
    </row>
    <row r="162" spans="2:5">
      <c r="B162" s="6"/>
      <c r="C162" s="111" t="s">
        <v>120</v>
      </c>
      <c r="D162" s="15" t="s">
        <v>144</v>
      </c>
      <c r="E162" s="149">
        <f>PI()*((E158-E160*2)/2)^2*(E159-1.5)/1000</f>
        <v>125.0709077160523</v>
      </c>
    </row>
    <row r="163" spans="2:5">
      <c r="B163" s="6"/>
      <c r="C163" s="111" t="s">
        <v>219</v>
      </c>
      <c r="D163" s="15" t="s">
        <v>14</v>
      </c>
      <c r="E163" s="149">
        <f>E164*(3.14*E158*E159+3.14*E158/2*E158/2)/1000</f>
        <v>51.194504736000006</v>
      </c>
    </row>
    <row r="164" spans="2:5">
      <c r="B164" s="6"/>
      <c r="C164" s="112" t="s">
        <v>220</v>
      </c>
      <c r="D164" s="15" t="s">
        <v>25</v>
      </c>
      <c r="E164" s="152">
        <f>E165*E160</f>
        <v>3.8736000000000002</v>
      </c>
    </row>
    <row r="165" spans="2:5">
      <c r="B165" s="6"/>
      <c r="C165" s="112" t="s">
        <v>221</v>
      </c>
      <c r="D165" s="15" t="s">
        <v>145</v>
      </c>
      <c r="E165" s="158">
        <v>8.07</v>
      </c>
    </row>
    <row r="166" spans="2:5">
      <c r="B166" s="6"/>
      <c r="C166" s="189" t="s">
        <v>256</v>
      </c>
      <c r="D166" s="15" t="s">
        <v>26</v>
      </c>
      <c r="E166" s="149">
        <f>E158-1</f>
        <v>45</v>
      </c>
    </row>
    <row r="167" spans="2:5">
      <c r="B167" s="6"/>
      <c r="C167" s="112" t="s">
        <v>222</v>
      </c>
      <c r="D167" s="15" t="s">
        <v>24</v>
      </c>
      <c r="E167" s="149">
        <f>E169*(3.14159*E166/2*E166/2)/1000</f>
        <v>0.70933175212499999</v>
      </c>
    </row>
    <row r="168" spans="2:5">
      <c r="B168" s="6"/>
      <c r="C168" s="219" t="s">
        <v>257</v>
      </c>
      <c r="D168" s="15" t="s">
        <v>258</v>
      </c>
      <c r="E168" s="149">
        <v>0.64</v>
      </c>
    </row>
    <row r="169" spans="2:5">
      <c r="B169" s="6"/>
      <c r="C169" s="112" t="s">
        <v>223</v>
      </c>
      <c r="D169" s="15" t="s">
        <v>25</v>
      </c>
      <c r="E169" s="67">
        <v>0.44600000000000001</v>
      </c>
    </row>
    <row r="170" spans="2:5">
      <c r="B170" s="6"/>
      <c r="C170" s="112" t="s">
        <v>224</v>
      </c>
      <c r="D170" s="15" t="s">
        <v>26</v>
      </c>
      <c r="E170" s="149">
        <v>0</v>
      </c>
    </row>
    <row r="171" spans="2:5">
      <c r="B171" s="6"/>
      <c r="C171" s="112" t="s">
        <v>225</v>
      </c>
      <c r="D171" s="15" t="s">
        <v>24</v>
      </c>
      <c r="E171" s="149">
        <f>E172*(3.14159*E170/2*E170/2)/1000</f>
        <v>0</v>
      </c>
    </row>
    <row r="172" spans="2:5">
      <c r="B172" s="6"/>
      <c r="C172" s="112" t="s">
        <v>226</v>
      </c>
      <c r="D172" s="15"/>
      <c r="E172" s="67">
        <v>0.159</v>
      </c>
    </row>
    <row r="173" spans="2:5">
      <c r="B173" s="6"/>
      <c r="C173" s="189" t="s">
        <v>242</v>
      </c>
      <c r="D173" s="15" t="s">
        <v>23</v>
      </c>
      <c r="E173" s="67">
        <v>0.4</v>
      </c>
    </row>
    <row r="174" spans="2:5">
      <c r="B174" s="6"/>
      <c r="C174" s="189" t="s">
        <v>243</v>
      </c>
      <c r="D174" s="15" t="s">
        <v>26</v>
      </c>
      <c r="E174" s="149">
        <f>E166</f>
        <v>45</v>
      </c>
    </row>
    <row r="175" spans="2:5">
      <c r="B175" s="6"/>
      <c r="C175" s="112" t="s">
        <v>124</v>
      </c>
      <c r="D175" s="15" t="s">
        <v>10</v>
      </c>
      <c r="E175" s="162">
        <v>0</v>
      </c>
    </row>
    <row r="176" spans="2:5">
      <c r="B176" s="6"/>
      <c r="C176" s="112" t="s">
        <v>227</v>
      </c>
      <c r="D176" s="15" t="s">
        <v>153</v>
      </c>
      <c r="E176" s="113">
        <v>2.7</v>
      </c>
    </row>
    <row r="177" spans="2:5">
      <c r="B177" s="6"/>
      <c r="C177" s="112" t="s">
        <v>125</v>
      </c>
      <c r="D177" s="15" t="s">
        <v>14</v>
      </c>
      <c r="E177" s="159">
        <f>E176*PI()*(E174/10/2)^2*E173/10000</f>
        <v>1.7176657833502195E-3</v>
      </c>
    </row>
    <row r="178" spans="2:5">
      <c r="B178" s="6"/>
      <c r="C178" s="189" t="s">
        <v>244</v>
      </c>
      <c r="D178" s="15" t="s">
        <v>23</v>
      </c>
      <c r="E178" s="67">
        <v>0.26</v>
      </c>
    </row>
    <row r="179" spans="2:5">
      <c r="B179" s="6"/>
      <c r="C179" s="189" t="s">
        <v>245</v>
      </c>
      <c r="D179" s="15" t="s">
        <v>26</v>
      </c>
      <c r="E179" s="149">
        <v>47</v>
      </c>
    </row>
    <row r="180" spans="2:5">
      <c r="B180" s="6"/>
      <c r="C180" s="112" t="s">
        <v>126</v>
      </c>
      <c r="D180" s="15" t="s">
        <v>10</v>
      </c>
      <c r="E180" s="149">
        <v>0</v>
      </c>
    </row>
    <row r="181" spans="2:5">
      <c r="B181" s="6"/>
      <c r="C181" s="112" t="s">
        <v>228</v>
      </c>
      <c r="D181" s="15" t="s">
        <v>15</v>
      </c>
      <c r="E181" s="113">
        <v>8.9</v>
      </c>
    </row>
    <row r="182" spans="2:5">
      <c r="B182" s="6"/>
      <c r="C182" s="112" t="s">
        <v>127</v>
      </c>
      <c r="D182" s="15" t="s">
        <v>14</v>
      </c>
      <c r="E182" s="159">
        <f>E181*PI()*(E179/10/2)^2*(E178/10000)</f>
        <v>4.0146616723746456E-3</v>
      </c>
    </row>
    <row r="183" spans="2:5">
      <c r="B183" s="6"/>
      <c r="C183" s="112" t="s">
        <v>121</v>
      </c>
      <c r="D183" s="15" t="s">
        <v>10</v>
      </c>
      <c r="E183" s="151"/>
    </row>
    <row r="184" spans="2:5">
      <c r="B184" s="6"/>
      <c r="C184" s="112" t="s">
        <v>122</v>
      </c>
      <c r="D184" s="15" t="s">
        <v>10</v>
      </c>
      <c r="E184" s="151"/>
    </row>
    <row r="185" spans="2:5">
      <c r="B185" s="6"/>
      <c r="C185" s="112" t="s">
        <v>123</v>
      </c>
      <c r="D185" s="15" t="s">
        <v>14</v>
      </c>
      <c r="E185" s="149"/>
    </row>
    <row r="186" spans="2:5">
      <c r="B186" s="6"/>
      <c r="C186" s="189" t="s">
        <v>259</v>
      </c>
      <c r="D186" s="15" t="s">
        <v>26</v>
      </c>
      <c r="E186" s="113">
        <v>0.65</v>
      </c>
    </row>
    <row r="187" spans="2:5">
      <c r="B187" s="6"/>
      <c r="C187" s="112" t="s">
        <v>229</v>
      </c>
      <c r="D187" s="15" t="s">
        <v>14</v>
      </c>
      <c r="E187" s="163">
        <f>E188*(3.14159*E158/2*E158/2)/1000</f>
        <v>5.9828439960000006</v>
      </c>
    </row>
    <row r="188" spans="2:5">
      <c r="B188" s="6"/>
      <c r="C188" s="112" t="s">
        <v>230</v>
      </c>
      <c r="D188" s="15" t="s">
        <v>25</v>
      </c>
      <c r="E188" s="67">
        <v>3.6</v>
      </c>
    </row>
    <row r="189" spans="2:5">
      <c r="B189" s="6"/>
      <c r="C189" s="112" t="s">
        <v>128</v>
      </c>
      <c r="D189" s="15" t="s">
        <v>10</v>
      </c>
      <c r="E189" s="153">
        <f>E159-E160-E186-E168</f>
        <v>78.22999999999999</v>
      </c>
    </row>
    <row r="190" spans="2:5" ht="16" thickBot="1">
      <c r="B190" s="6"/>
      <c r="C190" s="112" t="s">
        <v>231</v>
      </c>
      <c r="D190" s="15" t="s">
        <v>10</v>
      </c>
      <c r="E190" s="113">
        <f>E158-E160*2</f>
        <v>45.04</v>
      </c>
    </row>
    <row r="191" spans="2:5">
      <c r="B191" s="48" t="s">
        <v>232</v>
      </c>
      <c r="C191" s="114" t="s">
        <v>129</v>
      </c>
      <c r="D191" s="115" t="s">
        <v>14</v>
      </c>
      <c r="E191" s="116">
        <f>E152+E163+E185+E177+E182+E187+E156+E167+E171+2</f>
        <v>355.74538442548163</v>
      </c>
    </row>
    <row r="192" spans="2:5">
      <c r="B192" s="56"/>
      <c r="C192" s="117" t="s">
        <v>130</v>
      </c>
      <c r="D192" s="86" t="s">
        <v>15</v>
      </c>
      <c r="E192" s="118">
        <f>E161</f>
        <v>132.95220109992002</v>
      </c>
    </row>
    <row r="193" spans="2:5">
      <c r="B193" s="51"/>
      <c r="C193" s="52" t="s">
        <v>131</v>
      </c>
      <c r="D193" s="86" t="s">
        <v>16</v>
      </c>
      <c r="E193" s="119"/>
    </row>
    <row r="194" spans="2:5">
      <c r="B194" s="51"/>
      <c r="C194" s="52" t="s">
        <v>132</v>
      </c>
      <c r="D194" s="86" t="s">
        <v>271</v>
      </c>
      <c r="E194" s="120">
        <f>E193*E196</f>
        <v>0</v>
      </c>
    </row>
    <row r="195" spans="2:5">
      <c r="B195" s="51"/>
      <c r="C195" s="52" t="s">
        <v>133</v>
      </c>
      <c r="D195" s="86" t="s">
        <v>270</v>
      </c>
      <c r="E195" s="121">
        <v>3.7</v>
      </c>
    </row>
    <row r="196" spans="2:5">
      <c r="B196" s="51"/>
      <c r="C196" s="122" t="s">
        <v>134</v>
      </c>
      <c r="D196" s="123" t="s">
        <v>17</v>
      </c>
      <c r="E196" s="124">
        <f>E60*E4/1000</f>
        <v>23.265964681401872</v>
      </c>
    </row>
    <row r="197" spans="2:5">
      <c r="B197" s="51"/>
      <c r="C197" s="117" t="s">
        <v>135</v>
      </c>
      <c r="D197" s="123" t="s">
        <v>18</v>
      </c>
      <c r="E197" s="125">
        <f>E195*E196</f>
        <v>86.084069321186931</v>
      </c>
    </row>
    <row r="198" spans="2:5">
      <c r="B198" s="51"/>
      <c r="C198" s="126" t="s">
        <v>136</v>
      </c>
      <c r="D198" s="123" t="s">
        <v>19</v>
      </c>
      <c r="E198" s="125">
        <f>E197/E191*1000</f>
        <v>241.98225216670113</v>
      </c>
    </row>
    <row r="199" spans="2:5">
      <c r="B199" s="51"/>
      <c r="C199" s="117" t="s">
        <v>137</v>
      </c>
      <c r="D199" s="123" t="s">
        <v>20</v>
      </c>
      <c r="E199" s="125">
        <f>E197/E192*1000</f>
        <v>647.48133997789614</v>
      </c>
    </row>
    <row r="200" spans="2:5">
      <c r="B200" s="51"/>
      <c r="C200" s="52" t="s">
        <v>233</v>
      </c>
      <c r="D200" s="86" t="s">
        <v>154</v>
      </c>
      <c r="E200" s="160">
        <v>13.85</v>
      </c>
    </row>
    <row r="201" spans="2:5">
      <c r="B201" s="51"/>
      <c r="C201" s="52" t="s">
        <v>234</v>
      </c>
      <c r="D201" s="86" t="s">
        <v>154</v>
      </c>
      <c r="E201" s="161">
        <v>8.2729999999999997</v>
      </c>
    </row>
    <row r="202" spans="2:5">
      <c r="B202" s="51"/>
      <c r="C202" s="117" t="s">
        <v>235</v>
      </c>
      <c r="D202" s="86" t="s">
        <v>17</v>
      </c>
      <c r="E202" s="120">
        <f>E60*E6/1000</f>
        <v>24.490489138317759</v>
      </c>
    </row>
    <row r="203" spans="2:5">
      <c r="B203" s="51"/>
      <c r="C203" s="190" t="s">
        <v>246</v>
      </c>
      <c r="D203" s="123" t="s">
        <v>17</v>
      </c>
      <c r="E203" s="128">
        <f>E60*E5/1000</f>
        <v>23.265964681401872</v>
      </c>
    </row>
    <row r="204" spans="2:5">
      <c r="B204" s="51"/>
      <c r="C204" s="117" t="s">
        <v>138</v>
      </c>
      <c r="D204" s="86" t="s">
        <v>17</v>
      </c>
      <c r="E204" s="120">
        <f t="shared" ref="E204" si="11">E202-E203</f>
        <v>1.2245244569158871</v>
      </c>
    </row>
    <row r="205" spans="2:5">
      <c r="B205" s="51"/>
      <c r="C205" s="117" t="s">
        <v>139</v>
      </c>
      <c r="D205" s="86" t="s">
        <v>17</v>
      </c>
      <c r="E205" s="120">
        <f>E202</f>
        <v>24.490489138317759</v>
      </c>
    </row>
    <row r="206" spans="2:5">
      <c r="B206" s="51"/>
      <c r="C206" s="229" t="s">
        <v>269</v>
      </c>
      <c r="D206" s="86" t="s">
        <v>17</v>
      </c>
      <c r="E206" s="120">
        <f>E94*E136*E26/1000</f>
        <v>-2.2748993945101299</v>
      </c>
    </row>
    <row r="207" spans="2:5">
      <c r="B207" s="51"/>
      <c r="C207" s="117" t="s">
        <v>140</v>
      </c>
      <c r="D207" s="86" t="s">
        <v>17</v>
      </c>
      <c r="E207" s="120">
        <f>E205-E206</f>
        <v>26.765388532827888</v>
      </c>
    </row>
    <row r="208" spans="2:5">
      <c r="B208" s="51"/>
      <c r="C208" s="127" t="s">
        <v>141</v>
      </c>
      <c r="D208" s="123" t="s">
        <v>17</v>
      </c>
      <c r="E208" s="128">
        <f>E94*E22/1000</f>
        <v>30.227846709001323</v>
      </c>
    </row>
    <row r="209" spans="2:5" ht="28.5">
      <c r="B209" s="51"/>
      <c r="C209" s="127" t="s">
        <v>142</v>
      </c>
      <c r="D209" s="123" t="s">
        <v>17</v>
      </c>
      <c r="E209" s="128">
        <f>E94*E136*E23/1000</f>
        <v>26.161343036866516</v>
      </c>
    </row>
    <row r="210" spans="2:5">
      <c r="B210" s="51"/>
      <c r="C210" s="129" t="s">
        <v>236</v>
      </c>
      <c r="D210" s="123"/>
      <c r="E210" s="128">
        <f>E208/E203</f>
        <v>1.2992303187481657</v>
      </c>
    </row>
    <row r="211" spans="2:5">
      <c r="B211" s="51"/>
      <c r="C211" s="129" t="s">
        <v>147</v>
      </c>
      <c r="D211" s="123"/>
      <c r="E211" s="128">
        <f>E80*E23*E34/(E48*E5*E14)</f>
        <v>1.1244469505182018</v>
      </c>
    </row>
    <row r="212" spans="2:5" ht="16" thickBot="1">
      <c r="B212" s="130"/>
      <c r="C212" s="178" t="s">
        <v>237</v>
      </c>
      <c r="D212" s="131"/>
      <c r="E212" s="132">
        <v>1.1244469505182015</v>
      </c>
    </row>
    <row r="214" spans="2:5">
      <c r="C214" s="133"/>
      <c r="E214" s="38"/>
    </row>
  </sheetData>
  <sheetProtection algorithmName="SHA-512" hashValue="KWJ0b018U7ZNp15mv9aQOgNzrXD2P6xAwd9/URhp8KnPIaE0BGMiyfI7/BtzO0pdUCLzbT8b/68etaiyIVbA2A==" saltValue="3GMabtes3noYzxMrsiKqNw==" spinCount="100000" sheet="1" objects="1" scenarios="1"/>
  <protectedRanges>
    <protectedRange sqref="D1:E1048576" name="区域1"/>
  </protectedRanges>
  <phoneticPr fontId="26" type="noConversion"/>
  <pageMargins left="0.75" right="0.75" top="1" bottom="1" header="0.50902777777777797" footer="0.50902777777777797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试验电池设计 (20220407)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webuser</cp:lastModifiedBy>
  <dcterms:created xsi:type="dcterms:W3CDTF">2016-10-26T03:29:00Z</dcterms:created>
  <dcterms:modified xsi:type="dcterms:W3CDTF">2023-03-15T16:38:47Z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