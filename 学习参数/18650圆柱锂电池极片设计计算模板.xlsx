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设计总览" sheetId="2" r:id="rId5"/>
    <sheet name="容量匹配计算" sheetId="3" r:id="rId6"/>
    <sheet name="极片微观参数计算" sheetId="4" r:id="rId7"/>
    <sheet name="卷绕几何尺寸计算" sheetId="5" r:id="rId8"/>
    <sheet name="行业标准参数参考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<sst xmlns="http://schemas.openxmlformats.org/spreadsheetml/2006/main" count="451" uniqueCount="451">
  <si>
    <t xml:space="preserve">  </t>
  </si>
  <si>
    <t xml:space="preserve">18650圆柱锂电池极片设计计算模板</t>
  </si>
  <si>
    <t xml:space="preserve">一、核心设计输入参数</t>
  </si>
  <si>
    <t xml:space="preserve">参数名称</t>
  </si>
  <si>
    <t xml:space="preserve">符号</t>
  </si>
  <si>
    <t xml:space="preserve">数值</t>
  </si>
  <si>
    <t xml:space="preserve">单位</t>
  </si>
  <si>
    <t xml:space="preserve">参数说明</t>
  </si>
  <si>
    <t xml:space="preserve">电芯目标容量</t>
  </si>
  <si>
    <t xml:space="preserve">C_cell</t>
  </si>
  <si>
    <t xml:space="preserve">mAh</t>
  </si>
  <si>
    <t xml:space="preserve">18650常规容量：2000/2500/3000/3500mAh</t>
  </si>
  <si>
    <t xml:space="preserve">正极可逆克容量</t>
  </si>
  <si>
    <t xml:space="preserve">C_p,rev</t>
  </si>
  <si>
    <t xml:space="preserve">mAh/g</t>
  </si>
  <si>
    <t xml:space="preserve">NCM523≈160mAh/g，LCO≈150mAh/g，LFP≈140mAh/g</t>
  </si>
  <si>
    <t xml:space="preserve">负极可逆克容量</t>
  </si>
  <si>
    <t xml:space="preserve">C_n,rev</t>
  </si>
  <si>
    <t xml:space="preserve">mAh/g</t>
  </si>
  <si>
    <t xml:space="preserve">天然石墨≈350mAh/g，人造石墨≈320mAh/g</t>
  </si>
  <si>
    <t xml:space="preserve">正极活物质质量占比</t>
  </si>
  <si>
    <t xml:space="preserve">w_p</t>
  </si>
  <si>
    <t xml:space="preserve">常规92%~96%</t>
  </si>
  <si>
    <t xml:space="preserve">负极活物质质量占比</t>
  </si>
  <si>
    <t xml:space="preserve">w_n</t>
  </si>
  <si>
    <t xml:space="preserve">常规93%~97%</t>
  </si>
  <si>
    <t xml:space="preserve">N/P负极过量比</t>
  </si>
  <si>
    <t xml:space="preserve">N/P</t>
  </si>
  <si>
    <t xml:space="preserve">消费电芯常规1.08~1.15，动力电芯1.1~1.2</t>
  </si>
  <si>
    <t xml:space="preserve">正极单面涂层面密度</t>
  </si>
  <si>
    <t xml:space="preserve">AD_p</t>
  </si>
  <si>
    <t xml:space="preserve">mg/cm²</t>
  </si>
  <si>
    <t xml:space="preserve">能量型18~22mg/cm²，倍率型12~16mg/cm²</t>
  </si>
  <si>
    <t xml:space="preserve">负极单面涂层面密度</t>
  </si>
  <si>
    <t xml:space="preserve">AD_n</t>
  </si>
  <si>
    <t xml:space="preserve">mg/cm²</t>
  </si>
  <si>
    <t xml:space="preserve">匹配正极容量计算</t>
  </si>
  <si>
    <t xml:space="preserve">正极压实密度</t>
  </si>
  <si>
    <t xml:space="preserve">PD_p</t>
  </si>
  <si>
    <t xml:space="preserve">g/cm³</t>
  </si>
  <si>
    <t xml:space="preserve">NCM常规3.4~3.6g/cm³</t>
  </si>
  <si>
    <t xml:space="preserve">负极压实密度</t>
  </si>
  <si>
    <t xml:space="preserve">PD_n</t>
  </si>
  <si>
    <t xml:space="preserve">g/cm³</t>
  </si>
  <si>
    <t xml:space="preserve">石墨常规1.6~1.7g/cm³</t>
  </si>
  <si>
    <t xml:space="preserve">铝箔集流体厚度</t>
  </si>
  <si>
    <t xml:space="preserve">t_Al</t>
  </si>
  <si>
    <t xml:space="preserve">μm</t>
  </si>
  <si>
    <t xml:space="preserve">常规15/16/20μm</t>
  </si>
  <si>
    <t xml:space="preserve">铜箔集流体厚度</t>
  </si>
  <si>
    <t xml:space="preserve">t_Cu</t>
  </si>
  <si>
    <t xml:space="preserve">μm</t>
  </si>
  <si>
    <t xml:space="preserve">常规8/10/12μm</t>
  </si>
  <si>
    <t xml:space="preserve">隔膜厚度</t>
  </si>
  <si>
    <t xml:space="preserve">t_sep</t>
  </si>
  <si>
    <t xml:space="preserve">μm</t>
  </si>
  <si>
    <t xml:space="preserve">常规12/16/20μm</t>
  </si>
  <si>
    <t xml:space="preserve">卷针直径</t>
  </si>
  <si>
    <t xml:space="preserve">D_roll</t>
  </si>
  <si>
    <t xml:space="preserve">mm</t>
  </si>
  <si>
    <t xml:space="preserve">常规3.0~3.5mm</t>
  </si>
  <si>
    <t xml:space="preserve">极片敷料宽度</t>
  </si>
  <si>
    <t xml:space="preserve">W_p</t>
  </si>
  <si>
    <t xml:space="preserve">mm</t>
  </si>
  <si>
    <t xml:space="preserve">18650常规56~58mm</t>
  </si>
  <si>
    <t xml:space="preserve">二、核心计算结果</t>
  </si>
  <si>
    <t xml:space="preserve">指标名称</t>
  </si>
  <si>
    <t xml:space="preserve">符号</t>
  </si>
  <si>
    <t xml:space="preserve">计算结果</t>
  </si>
  <si>
    <t xml:space="preserve">单位</t>
  </si>
  <si>
    <t xml:space="preserve">计算公式/说明</t>
  </si>
  <si>
    <t xml:space="preserve">正极总面容量</t>
  </si>
  <si>
    <t xml:space="preserve">SC_p</t>
  </si>
  <si>
    <t xml:space="preserve">mAh/cm²</t>
  </si>
  <si>
    <t xml:space="preserve">SC_p = 2×AD_p×w_p×C_p,rev ÷ 1000</t>
  </si>
  <si>
    <t xml:space="preserve">负极总面容量</t>
  </si>
  <si>
    <t xml:space="preserve">SC_n</t>
  </si>
  <si>
    <t xml:space="preserve">mAh/cm²</t>
  </si>
  <si>
    <t xml:space="preserve">SC_n = 2×AD_n×w_n×C_n,rev ÷ 1000</t>
  </si>
  <si>
    <t xml:space="preserve">正极敷料总面积</t>
  </si>
  <si>
    <t xml:space="preserve">S_p</t>
  </si>
  <si>
    <t xml:space="preserve">cm²</t>
  </si>
  <si>
    <t xml:space="preserve">S_p = C_cell×1000 ÷ (2×AD_p×w_p×C_p,rev)</t>
  </si>
  <si>
    <t xml:space="preserve">正极敷料长度</t>
  </si>
  <si>
    <t xml:space="preserve">L_p</t>
  </si>
  <si>
    <t xml:space="preserve">mm</t>
  </si>
  <si>
    <t xml:space="preserve">L_p = S_p ÷ W_p（单位转换为mm）</t>
  </si>
  <si>
    <t xml:space="preserve">负极敷料长度</t>
  </si>
  <si>
    <t xml:space="preserve">L_n</t>
  </si>
  <si>
    <t xml:space="preserve">mm</t>
  </si>
  <si>
    <t xml:space="preserve">L_n = L_p + 20~40mm余量</t>
  </si>
  <si>
    <t xml:space="preserve">正极单面涂层厚度</t>
  </si>
  <si>
    <t xml:space="preserve">t_coat,p</t>
  </si>
  <si>
    <t xml:space="preserve">μm</t>
  </si>
  <si>
    <t xml:space="preserve">t_coat,p = AD_p×10 ÷ PD_p</t>
  </si>
  <si>
    <t xml:space="preserve">负极单面涂层厚度</t>
  </si>
  <si>
    <t xml:space="preserve">t_coat,n</t>
  </si>
  <si>
    <t xml:space="preserve">μm</t>
  </si>
  <si>
    <t xml:space="preserve">t_coat,n = AD_n×10 ÷ PD_n</t>
  </si>
  <si>
    <t xml:space="preserve">正极片总厚度</t>
  </si>
  <si>
    <t xml:space="preserve">t_p</t>
  </si>
  <si>
    <t xml:space="preserve">μm</t>
  </si>
  <si>
    <t xml:space="preserve">t_p = 2×t_coat,p + t_Al</t>
  </si>
  <si>
    <t xml:space="preserve">负极片总厚度</t>
  </si>
  <si>
    <t xml:space="preserve">t_n</t>
  </si>
  <si>
    <t xml:space="preserve">μm</t>
  </si>
  <si>
    <t xml:space="preserve">t_n = 2×t_coat,n + t_Cu</t>
  </si>
  <si>
    <t xml:space="preserve">单卷绕单元总厚度</t>
  </si>
  <si>
    <t xml:space="preserve">T_unit</t>
  </si>
  <si>
    <t xml:space="preserve">μm</t>
  </si>
  <si>
    <t xml:space="preserve">T_unit = t_p + t_n + 2×t_sep</t>
  </si>
  <si>
    <t xml:space="preserve">最大卷绕层数</t>
  </si>
  <si>
    <t xml:space="preserve">k</t>
  </si>
  <si>
    <t xml:space="preserve">层</t>
  </si>
  <si>
    <t xml:space="preserve">k = (D_core_max - D_roll) ÷ T_unit，D_core_max=17.6mm</t>
  </si>
  <si>
    <t xml:space="preserve">卷芯理论外径</t>
  </si>
  <si>
    <t xml:space="preserve">D_core</t>
  </si>
  <si>
    <t xml:space="preserve">mm</t>
  </si>
  <si>
    <t xml:space="preserve">D_core = D_roll + k×T_unit，需≤17.6mm</t>
  </si>
  <si>
    <t xml:space="preserve">18650极片容量匹配详细计算</t>
  </si>
  <si>
    <t xml:space="preserve">一、正极容量计算</t>
  </si>
  <si>
    <t xml:space="preserve">参数名称</t>
  </si>
  <si>
    <t xml:space="preserve">符号</t>
  </si>
  <si>
    <t xml:space="preserve">数值</t>
  </si>
  <si>
    <t xml:space="preserve">单位</t>
  </si>
  <si>
    <t xml:space="preserve">计算公式/说明</t>
  </si>
  <si>
    <t xml:space="preserve">电芯目标容量</t>
  </si>
  <si>
    <t xml:space="preserve">C_cell</t>
  </si>
  <si>
    <t xml:space="preserve">mAh</t>
  </si>
  <si>
    <t xml:space="preserve">目标额定容量</t>
  </si>
  <si>
    <t xml:space="preserve">正极可逆克容量</t>
  </si>
  <si>
    <t xml:space="preserve">C_p,rev</t>
  </si>
  <si>
    <t xml:space="preserve">mAh/g</t>
  </si>
  <si>
    <t xml:space="preserve">活性物质可逆比容量</t>
  </si>
  <si>
    <t xml:space="preserve">正极活物质占比</t>
  </si>
  <si>
    <t xml:space="preserve">w_p</t>
  </si>
  <si>
    <t xml:space="preserve">电极中活性物质的质量分数</t>
  </si>
  <si>
    <t xml:space="preserve">正极单面涂层面密度</t>
  </si>
  <si>
    <t xml:space="preserve">AD_p</t>
  </si>
  <si>
    <t xml:space="preserve">mg/cm²</t>
  </si>
  <si>
    <t xml:space="preserve">单面每平方厘米敷料质量</t>
  </si>
  <si>
    <t xml:space="preserve">正极敷料宽度</t>
  </si>
  <si>
    <t xml:space="preserve">W_p</t>
  </si>
  <si>
    <t xml:space="preserve">mm</t>
  </si>
  <si>
    <t xml:space="preserve">极片敷料宽度</t>
  </si>
  <si>
    <t xml:space="preserve">正极敷料长度</t>
  </si>
  <si>
    <t xml:space="preserve">L_p</t>
  </si>
  <si>
    <t xml:space="preserve">mm</t>
  </si>
  <si>
    <t xml:space="preserve">极片敷料总长度</t>
  </si>
  <si>
    <t xml:space="preserve">正极敷料总面积</t>
  </si>
  <si>
    <t xml:space="preserve">S_p</t>
  </si>
  <si>
    <t xml:space="preserve">cm²</t>
  </si>
  <si>
    <t xml:space="preserve">S_p = L_p × W_p，单位转换为cm²</t>
  </si>
  <si>
    <t xml:space="preserve">正极总活性物质质量</t>
  </si>
  <si>
    <t xml:space="preserve">m_p</t>
  </si>
  <si>
    <t xml:space="preserve">g</t>
  </si>
  <si>
    <t xml:space="preserve">m_p = 2×AD_p×S_p ÷ 1000，双面涂布</t>
  </si>
  <si>
    <t xml:space="preserve">正极总可逆容量</t>
  </si>
  <si>
    <t xml:space="preserve">C_p</t>
  </si>
  <si>
    <t xml:space="preserve">mAh</t>
  </si>
  <si>
    <t xml:space="preserve">C_p = m_p × C_p,rev，电芯容量上限</t>
  </si>
  <si>
    <t xml:space="preserve">二、负极容量与N/P比计算</t>
  </si>
  <si>
    <t xml:space="preserve">参数名称</t>
  </si>
  <si>
    <t xml:space="preserve">符号</t>
  </si>
  <si>
    <t xml:space="preserve">数值</t>
  </si>
  <si>
    <t xml:space="preserve">单位</t>
  </si>
  <si>
    <t xml:space="preserve">计算公式/说明</t>
  </si>
  <si>
    <t xml:space="preserve">负极可逆克容量</t>
  </si>
  <si>
    <t xml:space="preserve">C_n,rev</t>
  </si>
  <si>
    <t xml:space="preserve">mAh/g</t>
  </si>
  <si>
    <t xml:space="preserve">活性物质可逆比容量</t>
  </si>
  <si>
    <t xml:space="preserve">负极活物质占比</t>
  </si>
  <si>
    <t xml:space="preserve">w_n</t>
  </si>
  <si>
    <t xml:space="preserve">电极中活性物质的质量分数</t>
  </si>
  <si>
    <t xml:space="preserve">负极单面涂层面密度</t>
  </si>
  <si>
    <t xml:space="preserve">AD_n</t>
  </si>
  <si>
    <t xml:space="preserve">mg/cm²</t>
  </si>
  <si>
    <t xml:space="preserve">单面每平方厘米敷料质量</t>
  </si>
  <si>
    <t xml:space="preserve">负极敷料宽度</t>
  </si>
  <si>
    <t xml:space="preserve">W_n</t>
  </si>
  <si>
    <t xml:space="preserve">mm</t>
  </si>
  <si>
    <t xml:space="preserve">W_n = W_p + 2~3mm，全包正极</t>
  </si>
  <si>
    <t xml:space="preserve">负极敷料长度</t>
  </si>
  <si>
    <t xml:space="preserve">L_n</t>
  </si>
  <si>
    <t xml:space="preserve">mm</t>
  </si>
  <si>
    <t xml:space="preserve">负极比正极长20~40mm</t>
  </si>
  <si>
    <t xml:space="preserve">负极敷料总面积</t>
  </si>
  <si>
    <t xml:space="preserve">S_n</t>
  </si>
  <si>
    <t xml:space="preserve">cm²</t>
  </si>
  <si>
    <t xml:space="preserve">S_n = L_n × W_n，单位转换为cm²</t>
  </si>
  <si>
    <t xml:space="preserve">负极总活性物质质量</t>
  </si>
  <si>
    <t xml:space="preserve">m_n</t>
  </si>
  <si>
    <t xml:space="preserve">g</t>
  </si>
  <si>
    <t xml:space="preserve">m_n = 2×AD_n×S_n ÷ 1000，双面涂布</t>
  </si>
  <si>
    <t xml:space="preserve">负极总可逆容量</t>
  </si>
  <si>
    <t xml:space="preserve">C_n</t>
  </si>
  <si>
    <t xml:space="preserve">mAh</t>
  </si>
  <si>
    <t xml:space="preserve">C_n = m_n × C_n,rev</t>
  </si>
  <si>
    <t xml:space="preserve">N/P负极过量比</t>
  </si>
  <si>
    <t xml:space="preserve">N/P</t>
  </si>
  <si>
    <t xml:space="preserve">N/P = C_n ÷ C_p，需≥1.05，防止析锂</t>
  </si>
  <si>
    <t xml:space="preserve">18650极片微观参数详细计算</t>
  </si>
  <si>
    <t xml:space="preserve">一、正极微观参数计算</t>
  </si>
  <si>
    <t xml:space="preserve">参数名称</t>
  </si>
  <si>
    <t xml:space="preserve">符号</t>
  </si>
  <si>
    <t xml:space="preserve">数值</t>
  </si>
  <si>
    <t xml:space="preserve">单位</t>
  </si>
  <si>
    <t xml:space="preserve">计算公式/说明</t>
  </si>
  <si>
    <t xml:space="preserve">正极单面涂层面密度</t>
  </si>
  <si>
    <t xml:space="preserve">AD_p</t>
  </si>
  <si>
    <t xml:space="preserve">mg/cm²</t>
  </si>
  <si>
    <t xml:space="preserve">单面每平方厘米敷料质量</t>
  </si>
  <si>
    <t xml:space="preserve">正极压实密度</t>
  </si>
  <si>
    <t xml:space="preserve">PD_p</t>
  </si>
  <si>
    <t xml:space="preserve">g/cm³</t>
  </si>
  <si>
    <t xml:space="preserve">辊压后电极的体积密度</t>
  </si>
  <si>
    <t xml:space="preserve">正极单面涂层厚度</t>
  </si>
  <si>
    <t xml:space="preserve">t_coat,p</t>
  </si>
  <si>
    <t xml:space="preserve">μm</t>
  </si>
  <si>
    <t xml:space="preserve">t_coat,p = AD_p×10 ÷ PD_p</t>
  </si>
  <si>
    <t xml:space="preserve">铝箔集流体厚度</t>
  </si>
  <si>
    <t xml:space="preserve">t_Al</t>
  </si>
  <si>
    <t xml:space="preserve">μm</t>
  </si>
  <si>
    <t xml:space="preserve">正极集流体厚度</t>
  </si>
  <si>
    <t xml:space="preserve">正极片总厚度</t>
  </si>
  <si>
    <t xml:space="preserve">t_p</t>
  </si>
  <si>
    <t xml:space="preserve">μm</t>
  </si>
  <si>
    <t xml:space="preserve">t_p = 2×t_coat,p + t_Al，双面涂层+集流体</t>
  </si>
  <si>
    <t xml:space="preserve">正极活物质真密度</t>
  </si>
  <si>
    <t xml:space="preserve">ρ_active,p</t>
  </si>
  <si>
    <t xml:space="preserve">g/cm³</t>
  </si>
  <si>
    <t xml:space="preserve">NCM≈4.8g/cm³，LCO≈5.1g/cm³</t>
  </si>
  <si>
    <t xml:space="preserve">正极混合物质真密度</t>
  </si>
  <si>
    <t xml:space="preserve">ρ_mix,p</t>
  </si>
  <si>
    <t xml:space="preserve">g/cm³</t>
  </si>
  <si>
    <t xml:space="preserve">活物质+导电剂+粘结剂混合真密度</t>
  </si>
  <si>
    <t xml:space="preserve">正极涂层孔隙率</t>
  </si>
  <si>
    <t xml:space="preserve">ε_p</t>
  </si>
  <si>
    <t xml:space="preserve">ε_p = 1 - PD_p/ρ_mix_p，常规25%~35%</t>
  </si>
  <si>
    <t xml:space="preserve">二、负极微观参数计算</t>
  </si>
  <si>
    <t xml:space="preserve">参数名称</t>
  </si>
  <si>
    <t xml:space="preserve">符号</t>
  </si>
  <si>
    <t xml:space="preserve">数值</t>
  </si>
  <si>
    <t xml:space="preserve">单位</t>
  </si>
  <si>
    <t xml:space="preserve">计算公式/说明</t>
  </si>
  <si>
    <t xml:space="preserve">负极单面涂层面密度</t>
  </si>
  <si>
    <t xml:space="preserve">AD_n</t>
  </si>
  <si>
    <t xml:space="preserve">mg/cm²</t>
  </si>
  <si>
    <t xml:space="preserve">单面每平方厘米敷料质量</t>
  </si>
  <si>
    <t xml:space="preserve">负极压实密度</t>
  </si>
  <si>
    <t xml:space="preserve">PD_n</t>
  </si>
  <si>
    <t xml:space="preserve">g/cm³</t>
  </si>
  <si>
    <t xml:space="preserve">辊压后电极的体积密度</t>
  </si>
  <si>
    <t xml:space="preserve">负极单面涂层厚度</t>
  </si>
  <si>
    <t xml:space="preserve">t_coat,n</t>
  </si>
  <si>
    <t xml:space="preserve">μm</t>
  </si>
  <si>
    <t xml:space="preserve">t_coat,n = AD_n×10 ÷ PD_n</t>
  </si>
  <si>
    <t xml:space="preserve">铜箔集流体厚度</t>
  </si>
  <si>
    <t xml:space="preserve">t_Cu</t>
  </si>
  <si>
    <t xml:space="preserve">μm</t>
  </si>
  <si>
    <t xml:space="preserve">负极集流体厚度</t>
  </si>
  <si>
    <t xml:space="preserve">负极片总厚度</t>
  </si>
  <si>
    <t xml:space="preserve">t_n</t>
  </si>
  <si>
    <t xml:space="preserve">μm</t>
  </si>
  <si>
    <t xml:space="preserve">t_n = 2×t_coat,n + t_Cu，双面涂层+集流体</t>
  </si>
  <si>
    <t xml:space="preserve">负极活物质真密度</t>
  </si>
  <si>
    <t xml:space="preserve">ρ_active,n</t>
  </si>
  <si>
    <t xml:space="preserve">g/cm³</t>
  </si>
  <si>
    <t xml:space="preserve">石墨≈2.2g/cm³</t>
  </si>
  <si>
    <t xml:space="preserve">负极混合物质真密度</t>
  </si>
  <si>
    <t xml:space="preserve">ρ_mix,n</t>
  </si>
  <si>
    <t xml:space="preserve">g/cm³</t>
  </si>
  <si>
    <t xml:space="preserve">活物质+导电剂+粘结剂混合真密度</t>
  </si>
  <si>
    <t xml:space="preserve">负极涂层孔隙率</t>
  </si>
  <si>
    <t xml:space="preserve">ε_n</t>
  </si>
  <si>
    <t xml:space="preserve">ε_n = 1 - PD_n/ρ_mix_n，常规30%~40%</t>
  </si>
  <si>
    <t xml:space="preserve">18650极片卷绕几何尺寸详细计算</t>
  </si>
  <si>
    <t xml:space="preserve">一、卷绕基础参数</t>
  </si>
  <si>
    <t xml:space="preserve">参数名称</t>
  </si>
  <si>
    <t xml:space="preserve">符号</t>
  </si>
  <si>
    <t xml:space="preserve">数值</t>
  </si>
  <si>
    <t xml:space="preserve">单位</t>
  </si>
  <si>
    <t xml:space="preserve">计算公式/说明</t>
  </si>
  <si>
    <t xml:space="preserve">卷针直径</t>
  </si>
  <si>
    <t xml:space="preserve">D_roll</t>
  </si>
  <si>
    <t xml:space="preserve">mm</t>
  </si>
  <si>
    <t xml:space="preserve">卷绕用卷针直径</t>
  </si>
  <si>
    <t xml:space="preserve">正极片总厚度</t>
  </si>
  <si>
    <t xml:space="preserve">t_p</t>
  </si>
  <si>
    <t xml:space="preserve">μm</t>
  </si>
  <si>
    <t xml:space="preserve">单张正极片总厚度</t>
  </si>
  <si>
    <t xml:space="preserve">负极片总厚度</t>
  </si>
  <si>
    <t xml:space="preserve">t_n</t>
  </si>
  <si>
    <t xml:space="preserve">μm</t>
  </si>
  <si>
    <t xml:space="preserve">单张负极片总厚度</t>
  </si>
  <si>
    <t xml:space="preserve">隔膜厚度</t>
  </si>
  <si>
    <t xml:space="preserve">t_sep</t>
  </si>
  <si>
    <t xml:space="preserve">μm</t>
  </si>
  <si>
    <t xml:space="preserve">单层隔膜厚度</t>
  </si>
  <si>
    <t xml:space="preserve">单卷绕单元总厚度</t>
  </si>
  <si>
    <t xml:space="preserve">T_unit</t>
  </si>
  <si>
    <t xml:space="preserve">μm</t>
  </si>
  <si>
    <t xml:space="preserve">T_unit = t_p + t_n + 2×t_sep，1正1负2层隔膜</t>
  </si>
  <si>
    <t xml:space="preserve">单卷绕单元总厚度</t>
  </si>
  <si>
    <t xml:space="preserve">T_unit_mm</t>
  </si>
  <si>
    <t xml:space="preserve">mm</t>
  </si>
  <si>
    <t xml:space="preserve">单位转换为mm</t>
  </si>
  <si>
    <t xml:space="preserve">18650钢壳内径</t>
  </si>
  <si>
    <t xml:space="preserve">D_shell</t>
  </si>
  <si>
    <t xml:space="preserve">mm</t>
  </si>
  <si>
    <t xml:space="preserve">标准18650钢壳内径</t>
  </si>
  <si>
    <t xml:space="preserve">卷芯最大允许外径</t>
  </si>
  <si>
    <t xml:space="preserve">D_core_max</t>
  </si>
  <si>
    <t xml:space="preserve">mm</t>
  </si>
  <si>
    <t xml:space="preserve">预留0.2mm装配间隙，需≤17.6mm</t>
  </si>
  <si>
    <t xml:space="preserve">二、卷绕层数与卷芯直径计算</t>
  </si>
  <si>
    <t xml:space="preserve">参数名称</t>
  </si>
  <si>
    <t xml:space="preserve">符号</t>
  </si>
  <si>
    <t xml:space="preserve">数值</t>
  </si>
  <si>
    <t xml:space="preserve">单位</t>
  </si>
  <si>
    <t xml:space="preserve">计算公式/说明</t>
  </si>
  <si>
    <t xml:space="preserve">最大可卷绕层数</t>
  </si>
  <si>
    <t xml:space="preserve">k_max</t>
  </si>
  <si>
    <t xml:space="preserve">层</t>
  </si>
  <si>
    <t xml:space="preserve">k_max = (D_core_max - D_roll) ÷ T_unit_mm</t>
  </si>
  <si>
    <t xml:space="preserve">实际卷绕层数</t>
  </si>
  <si>
    <t xml:space="preserve">k</t>
  </si>
  <si>
    <t xml:space="preserve">层</t>
  </si>
  <si>
    <t xml:space="preserve">取整后的实际卷绕层数</t>
  </si>
  <si>
    <t xml:space="preserve">第1层卷绕直径</t>
  </si>
  <si>
    <t xml:space="preserve">D_1</t>
  </si>
  <si>
    <t xml:space="preserve">mm</t>
  </si>
  <si>
    <t xml:space="preserve">D_1 = D_roll + T_unit_mm</t>
  </si>
  <si>
    <t xml:space="preserve">第1层周长</t>
  </si>
  <si>
    <t xml:space="preserve">L_1</t>
  </si>
  <si>
    <t xml:space="preserve">mm</t>
  </si>
  <si>
    <t xml:space="preserve">L_1 = π×D_1</t>
  </si>
  <si>
    <t xml:space="preserve">第k层卷绕直径</t>
  </si>
  <si>
    <t xml:space="preserve">D_k</t>
  </si>
  <si>
    <t xml:space="preserve">mm</t>
  </si>
  <si>
    <t xml:space="preserve">D_k = D_roll + k×T_unit_mm</t>
  </si>
  <si>
    <t xml:space="preserve">第k层周长</t>
  </si>
  <si>
    <t xml:space="preserve">L_k</t>
  </si>
  <si>
    <t xml:space="preserve">mm</t>
  </si>
  <si>
    <t xml:space="preserve">L_k = π×D_k</t>
  </si>
  <si>
    <t xml:space="preserve">卷绕总长度（理论）</t>
  </si>
  <si>
    <t xml:space="preserve">L_total</t>
  </si>
  <si>
    <t xml:space="preserve">mm</t>
  </si>
  <si>
    <t xml:space="preserve">等差数列求和公式</t>
  </si>
  <si>
    <t xml:space="preserve">正极实际长度</t>
  </si>
  <si>
    <t xml:space="preserve">L_p</t>
  </si>
  <si>
    <t xml:space="preserve">mm</t>
  </si>
  <si>
    <t xml:space="preserve">正极敷料实际长度</t>
  </si>
  <si>
    <t xml:space="preserve">负极实际长度</t>
  </si>
  <si>
    <t xml:space="preserve">L_n</t>
  </si>
  <si>
    <t xml:space="preserve">mm</t>
  </si>
  <si>
    <t xml:space="preserve">负极敷料实际长度</t>
  </si>
  <si>
    <t xml:space="preserve">卷芯最终外径</t>
  </si>
  <si>
    <t xml:space="preserve">D_core</t>
  </si>
  <si>
    <t xml:space="preserve">mm</t>
  </si>
  <si>
    <t xml:space="preserve">D_core = D_roll + k×T_unit_mm，需≤17.6mm</t>
  </si>
  <si>
    <t xml:space="preserve">外径裕量</t>
  </si>
  <si>
    <t xml:space="preserve">D_margin</t>
  </si>
  <si>
    <t xml:space="preserve">mm</t>
  </si>
  <si>
    <t xml:space="preserve">D_margin = D_core_max - D_core，需≥0</t>
  </si>
  <si>
    <t xml:space="preserve">18650圆柱锂电池极片设计行业标准参数参考</t>
  </si>
  <si>
    <t xml:space="preserve">一、正极标准参数</t>
  </si>
  <si>
    <t xml:space="preserve">材料体系</t>
  </si>
  <si>
    <t xml:space="preserve">可逆克容量(mAh/g)</t>
  </si>
  <si>
    <t xml:space="preserve">活物质占比(%)</t>
  </si>
  <si>
    <t xml:space="preserve">单面面密度(mg/cm²)</t>
  </si>
  <si>
    <t xml:space="preserve">压实密度(g/cm³)</t>
  </si>
  <si>
    <t xml:space="preserve">单面涂层厚度(μm)</t>
  </si>
  <si>
    <t xml:space="preserve">适用场景</t>
  </si>
  <si>
    <t xml:space="preserve">NCM523</t>
  </si>
  <si>
    <t xml:space="preserve">18~22</t>
  </si>
  <si>
    <t xml:space="preserve">3.4~3.6</t>
  </si>
  <si>
    <t xml:space="preserve">50~65</t>
  </si>
  <si>
    <t xml:space="preserve">消费级能量型</t>
  </si>
  <si>
    <t xml:space="preserve">NCM811</t>
  </si>
  <si>
    <t xml:space="preserve">16~20</t>
  </si>
  <si>
    <t xml:space="preserve">3.5~3.7</t>
  </si>
  <si>
    <t xml:space="preserve">45~60</t>
  </si>
  <si>
    <t xml:space="preserve">高镍能量型</t>
  </si>
  <si>
    <t xml:space="preserve">LCO</t>
  </si>
  <si>
    <t xml:space="preserve">19~23</t>
  </si>
  <si>
    <t xml:space="preserve">3.8~4.0</t>
  </si>
  <si>
    <t xml:space="preserve">48~62</t>
  </si>
  <si>
    <t xml:space="preserve">消费级高电压型</t>
  </si>
  <si>
    <t xml:space="preserve">LFP</t>
  </si>
  <si>
    <t xml:space="preserve">20~24</t>
  </si>
  <si>
    <t xml:space="preserve">3.2~3.4</t>
  </si>
  <si>
    <t xml:space="preserve">60~75</t>
  </si>
  <si>
    <t xml:space="preserve">动力/储能型</t>
  </si>
  <si>
    <t xml:space="preserve">二、负极标准参数</t>
  </si>
  <si>
    <t xml:space="preserve">材料体系</t>
  </si>
  <si>
    <t xml:space="preserve">可逆克容量(mAh/g)</t>
  </si>
  <si>
    <t xml:space="preserve">活物质占比(%)</t>
  </si>
  <si>
    <t xml:space="preserve">单面面密度(mg/cm²)</t>
  </si>
  <si>
    <t xml:space="preserve">压实密度(g/cm³)</t>
  </si>
  <si>
    <t xml:space="preserve">单面涂层厚度(μm)</t>
  </si>
  <si>
    <t xml:space="preserve">适用场景</t>
  </si>
  <si>
    <t xml:space="preserve">天然石墨</t>
  </si>
  <si>
    <t xml:space="preserve">10~13</t>
  </si>
  <si>
    <t xml:space="preserve">1.6~1.7</t>
  </si>
  <si>
    <t xml:space="preserve">60~75</t>
  </si>
  <si>
    <t xml:space="preserve">消费级能量型</t>
  </si>
  <si>
    <t xml:space="preserve">人造石墨</t>
  </si>
  <si>
    <t xml:space="preserve">10~12</t>
  </si>
  <si>
    <t xml:space="preserve">1.6~1.7</t>
  </si>
  <si>
    <t xml:space="preserve">55~70</t>
  </si>
  <si>
    <t xml:space="preserve">动力/循环型</t>
  </si>
  <si>
    <t xml:space="preserve">软碳</t>
  </si>
  <si>
    <t xml:space="preserve">9~11</t>
  </si>
  <si>
    <t xml:space="preserve">1.4~1.5</t>
  </si>
  <si>
    <t xml:space="preserve">60~70</t>
  </si>
  <si>
    <t xml:space="preserve">快充型</t>
  </si>
  <si>
    <t xml:space="preserve">硅碳</t>
  </si>
  <si>
    <t xml:space="preserve">8~10</t>
  </si>
  <si>
    <t xml:space="preserve">1.5~1.6</t>
  </si>
  <si>
    <t xml:space="preserve">40~55</t>
  </si>
  <si>
    <t xml:space="preserve">高容量型</t>
  </si>
  <si>
    <t xml:space="preserve">三、其他配套标准参数</t>
  </si>
  <si>
    <t xml:space="preserve">参数类别</t>
  </si>
  <si>
    <t xml:space="preserve">参数名称</t>
  </si>
  <si>
    <t xml:space="preserve">常规取值</t>
  </si>
  <si>
    <t xml:space="preserve">单位</t>
  </si>
  <si>
    <t xml:space="preserve">说明</t>
  </si>
  <si>
    <t xml:space="preserve">集流体</t>
  </si>
  <si>
    <t xml:space="preserve">铝箔厚度</t>
  </si>
  <si>
    <t xml:space="preserve">μm</t>
  </si>
  <si>
    <t xml:space="preserve">正极常规15/16/20μm</t>
  </si>
  <si>
    <t xml:space="preserve">集流体</t>
  </si>
  <si>
    <t xml:space="preserve">铜箔厚度</t>
  </si>
  <si>
    <t xml:space="preserve">μm</t>
  </si>
  <si>
    <t xml:space="preserve">负极常规8/10/12μm</t>
  </si>
  <si>
    <t xml:space="preserve">隔膜</t>
  </si>
  <si>
    <t xml:space="preserve">湿法隔膜厚度</t>
  </si>
  <si>
    <t xml:space="preserve">μm</t>
  </si>
  <si>
    <t xml:space="preserve">常规12/16/20μm</t>
  </si>
  <si>
    <t xml:space="preserve">卷绕</t>
  </si>
  <si>
    <t xml:space="preserve">卷针直径</t>
  </si>
  <si>
    <t xml:space="preserve">mm</t>
  </si>
  <si>
    <t xml:space="preserve">常规3.0~3.5mm</t>
  </si>
  <si>
    <t xml:space="preserve">安全</t>
  </si>
  <si>
    <t xml:space="preserve">N/P负极过量比</t>
  </si>
  <si>
    <t xml:space="preserve">消费电芯1.08~1.15，动力电芯1.1~1.2</t>
  </si>
  <si>
    <t xml:space="preserve">尺寸</t>
  </si>
  <si>
    <t xml:space="preserve">极片敷料宽度</t>
  </si>
  <si>
    <t xml:space="preserve">mm</t>
  </si>
  <si>
    <t xml:space="preserve">18650常规56~58mm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</si>
</sst>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"/>
    <numFmt numFmtId="165" formatCode="0.00"/>
    <numFmt numFmtId="166" formatCode="0.00"/>
    <numFmt numFmtId="167" formatCode="0.00"/>
  </numFmts>
  <fonts count="6">
    <font>
      <sz val="10"/>
      <color theme="1"/>
      <name val="Calibri"/>
      <family val="2"/>
      <scheme val="minor"/>
    </font>
    <font>
      <b val="true"/>
      <sz val="14"/>
      <color rgb="FFFFFFFF"/>
      <name val="Arial"/>
      <family val="2"/>
    </font>
    <font>
      <sz val="11"/>
      <color rgb="FF000000"/>
      <name val="Calibri"/>
      <family val="2"/>
    </font>
    <font>
      <b val="true"/>
      <sz val="12"/>
      <color rgb="FF000000"/>
      <name val="Arial"/>
      <family val="2"/>
    </font>
    <font>
      <b val="true"/>
      <sz val="11"/>
      <color rgb="FFFFFFFF"/>
      <name val="Arial"/>
      <family val="2"/>
    </font>
    <font>
      <sz val="11"/>
      <color rgb="FF333333"/>
      <name val="Arial"/>
      <family val="2"/>
    </font>
  </fonts>
  <fills count="1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D9E1F2"/>
        <bgColor/>
      </patternFill>
    </fill>
    <fill>
      <patternFill patternType="solid">
        <fgColor rgb="FF0070C0"/>
        <bgColor/>
      </patternFill>
    </fill>
    <fill>
      <patternFill patternType="solid">
        <fgColor rgb="FF003366"/>
        <bgColor/>
      </patternFill>
    </fill>
    <fill>
      <patternFill patternType="solid">
        <fgColor rgb="FFD9E1F2"/>
        <bgColor/>
      </patternFill>
    </fill>
    <fill>
      <patternFill patternType="solid">
        <fgColor rgb="FF0070C0"/>
        <bgColor/>
      </patternFill>
    </fill>
    <fill>
      <patternFill patternType="solid">
        <fgColor rgb="FF003366"/>
        <bgColor/>
      </patternFill>
    </fill>
    <fill>
      <patternFill patternType="solid">
        <fgColor rgb="FFD9E1F2"/>
        <bgColor/>
      </patternFill>
    </fill>
    <fill>
      <patternFill patternType="solid">
        <fgColor rgb="FF0070C0"/>
        <bgColor/>
      </patternFill>
    </fill>
    <fill>
      <patternFill patternType="solid">
        <fgColor rgb="FF003366"/>
        <bgColor/>
      </patternFill>
    </fill>
    <fill>
      <patternFill patternType="solid">
        <fgColor rgb="FFD9E1F2"/>
        <bgColor/>
      </patternFill>
    </fill>
    <fill>
      <patternFill patternType="solid">
        <fgColor rgb="FF0070C0"/>
        <bgColor/>
      </patternFill>
    </fill>
    <fill>
      <patternFill patternType="solid">
        <fgColor rgb="FF003366"/>
        <bgColor/>
      </patternFill>
    </fill>
    <fill>
      <patternFill patternType="solid">
        <fgColor rgb="FFD9E1F2"/>
        <bgColor/>
      </patternFill>
    </fill>
    <fill>
      <patternFill patternType="solid">
        <fgColor rgb="FF0070C0"/>
        <bgColor/>
      </patternFill>
    </fill>
  </fills>
  <borders count="6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0" fillId="3" fontId="3" numFmtId="0" xfId="0">
      <alignment horizontal="left" vertical="center"/>
    </xf>
    <xf applyAlignment="true" applyBorder="false" applyFill="true" applyFont="true" applyNumberFormat="false" applyProtection="false" borderId="0" fillId="4" fontId="4" numFmtId="0" xfId="0">
      <alignment horizontal="center" vertical="center"/>
    </xf>
    <xf applyAlignment="true" applyBorder="false" applyFill="false" applyFont="true" applyNumberFormat="false" applyProtection="false" borderId="1" fillId="0" fontId="5" numFmtId="0" xfId="0">
      <alignment horizontal="left" vertical="center"/>
    </xf>
    <xf applyAlignment="true" applyBorder="false" applyFill="false" applyFont="true" applyNumberFormat="false" applyProtection="false" borderId="1" fillId="0" fontId="5" numFmtId="0" xfId="0">
      <alignment horizontal="center" vertical="center"/>
    </xf>
    <xf applyAlignment="true" applyBorder="false" applyFill="false" applyFont="true" applyNumberFormat="false" applyProtection="false" borderId="1" fillId="0" fontId="5" numFmtId="0" xfId="0">
      <alignment horizontal="right" vertical="center"/>
    </xf>
    <xf applyAlignment="true" applyBorder="false" applyFill="false" applyFont="true" applyNumberFormat="true" applyProtection="false" borderId="1" fillId="0" fontId="5" numFmtId="164" xfId="0">
      <alignment horizontal="right" vertical="center"/>
    </xf>
    <xf applyAlignment="true" applyBorder="false" applyFill="true" applyFont="true" applyNumberFormat="false" applyProtection="false" borderId="0" fillId="5" fontId="1" numFmtId="0" xfId="0">
      <alignment horizontal="center" vertical="center"/>
    </xf>
    <xf applyAlignment="true" applyBorder="false" applyFill="true" applyFont="true" applyNumberFormat="false" applyProtection="false" borderId="0" fillId="6" fontId="3" numFmtId="0" xfId="0">
      <alignment horizontal="left" vertical="center"/>
    </xf>
    <xf applyAlignment="true" applyBorder="false" applyFill="true" applyFont="true" applyNumberFormat="false" applyProtection="false" borderId="0" fillId="7" fontId="4" numFmtId="0" xfId="0">
      <alignment horizontal="center" vertical="center"/>
    </xf>
    <xf applyAlignment="true" applyBorder="false" applyFill="false" applyFont="true" applyNumberFormat="false" applyProtection="false" borderId="2" fillId="0" fontId="5" numFmtId="0" xfId="0">
      <alignment horizontal="left" vertical="center"/>
    </xf>
    <xf applyAlignment="true" applyBorder="false" applyFill="false" applyFont="true" applyNumberFormat="false" applyProtection="false" borderId="2" fillId="0" fontId="5" numFmtId="0" xfId="0">
      <alignment horizontal="center" vertical="center"/>
    </xf>
    <xf applyAlignment="true" applyBorder="false" applyFill="false" applyFont="true" applyNumberFormat="true" applyProtection="false" borderId="2" fillId="0" fontId="5" numFmtId="165" xfId="0">
      <alignment horizontal="right" vertical="center"/>
    </xf>
    <xf applyAlignment="true" applyBorder="false" applyFill="true" applyFont="true" applyNumberFormat="false" applyProtection="false" borderId="0" fillId="8" fontId="1" numFmtId="0" xfId="0">
      <alignment horizontal="center" vertical="center"/>
    </xf>
    <xf applyAlignment="true" applyBorder="false" applyFill="true" applyFont="true" applyNumberFormat="false" applyProtection="false" borderId="0" fillId="9" fontId="3" numFmtId="0" xfId="0">
      <alignment horizontal="left" vertical="center"/>
    </xf>
    <xf applyAlignment="true" applyBorder="false" applyFill="true" applyFont="true" applyNumberFormat="false" applyProtection="false" borderId="0" fillId="10" fontId="4" numFmtId="0" xfId="0">
      <alignment horizontal="center" vertical="center"/>
    </xf>
    <xf applyAlignment="true" applyBorder="false" applyFill="false" applyFont="true" applyNumberFormat="false" applyProtection="false" borderId="3" fillId="0" fontId="5" numFmtId="0" xfId="0">
      <alignment horizontal="left" vertical="center"/>
    </xf>
    <xf applyAlignment="true" applyBorder="false" applyFill="false" applyFont="true" applyNumberFormat="false" applyProtection="false" borderId="3" fillId="0" fontId="5" numFmtId="0" xfId="0">
      <alignment horizontal="center" vertical="center"/>
    </xf>
    <xf applyAlignment="true" applyBorder="false" applyFill="false" applyFont="true" applyNumberFormat="true" applyProtection="false" borderId="3" fillId="0" fontId="5" numFmtId="166" xfId="0">
      <alignment horizontal="right" vertical="center"/>
    </xf>
    <xf applyAlignment="true" applyBorder="false" applyFill="true" applyFont="true" applyNumberFormat="false" applyProtection="false" borderId="0" fillId="11" fontId="1" numFmtId="0" xfId="0">
      <alignment horizontal="center" vertical="center"/>
    </xf>
    <xf applyAlignment="true" applyBorder="false" applyFill="true" applyFont="true" applyNumberFormat="false" applyProtection="false" borderId="0" fillId="12" fontId="3" numFmtId="0" xfId="0">
      <alignment horizontal="left" vertical="center"/>
    </xf>
    <xf applyAlignment="true" applyBorder="false" applyFill="true" applyFont="true" applyNumberFormat="false" applyProtection="false" borderId="0" fillId="13" fontId="4" numFmtId="0" xfId="0">
      <alignment horizontal="center" vertical="center"/>
    </xf>
    <xf applyAlignment="true" applyBorder="false" applyFill="false" applyFont="true" applyNumberFormat="false" applyProtection="false" borderId="4" fillId="0" fontId="5" numFmtId="0" xfId="0">
      <alignment horizontal="left" vertical="center"/>
    </xf>
    <xf applyAlignment="true" applyBorder="false" applyFill="false" applyFont="true" applyNumberFormat="false" applyProtection="false" borderId="4" fillId="0" fontId="5" numFmtId="0" xfId="0">
      <alignment horizontal="center" vertical="center"/>
    </xf>
    <xf applyAlignment="true" applyBorder="false" applyFill="false" applyFont="true" applyNumberFormat="true" applyProtection="false" borderId="4" fillId="0" fontId="5" numFmtId="167" xfId="0">
      <alignment horizontal="right" vertical="center"/>
    </xf>
    <xf applyAlignment="true" applyBorder="false" applyFill="true" applyFont="true" applyNumberFormat="false" applyProtection="false" borderId="0" fillId="14" fontId="1" numFmtId="0" xfId="0">
      <alignment horizontal="center" vertical="center"/>
    </xf>
    <xf applyAlignment="true" applyBorder="false" applyFill="true" applyFont="true" applyNumberFormat="false" applyProtection="false" borderId="0" fillId="15" fontId="3" numFmtId="0" xfId="0">
      <alignment horizontal="left" vertical="center"/>
    </xf>
    <xf applyAlignment="true" applyBorder="false" applyFill="true" applyFont="true" applyNumberFormat="false" applyProtection="false" borderId="0" fillId="16" fontId="4" numFmtId="0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horizontal="left" vertical="center"/>
    </xf>
    <xf applyAlignment="true" applyBorder="false" applyFill="false" applyFont="true" applyNumberFormat="false" applyProtection="false" borderId="5" fillId="0" fontId="5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5" ySplit="4"/>
    </sheetView>
  </sheetViews>
  <sheetFormatPr defaultColWidth="14" defaultRowHeight="19"/>
  <cols>
    <col collapsed="false" customWidth="true" hidden="false" max="8" min="8" style="0" width="9"/>
    <col collapsed="false" customWidth="true" hidden="false" max="10" min="10" style="0" width="9"/>
    <col collapsed="false" customWidth="true" hidden="false" max="2" min="2" style="0" width="12"/>
    <col collapsed="false" customWidth="true" hidden="false" max="4" min="4" style="0" width="11"/>
    <col collapsed="false" customWidth="true" hidden="false" max="6" min="6" style="0" width="9"/>
    <col collapsed="false" customWidth="true" hidden="false" max="7" min="7" style="0" width="9"/>
    <col collapsed="false" customWidth="true" hidden="false" max="9" min="9" style="0" width="9"/>
    <col collapsed="false" customWidth="true" hidden="false" max="1" min="1" style="0" width="38"/>
    <col collapsed="false" customWidth="true" hidden="false" max="3" min="3" style="0" width="28"/>
    <col collapsed="false" customWidth="true" hidden="false" max="5" min="5" style="0" width="51"/>
  </cols>
  <sheetData>
    <row customHeight="true" ht="38" r="1">
      <c r="A1" s="1" t="s">
        <v>1</v>
      </c>
    </row>
    <row customHeight="true" ht="15" r="2"/>
    <row customHeight="true" ht="24" r="3">
      <c r="A3" s="2" t="s">
        <v>2</v>
      </c>
    </row>
    <row customHeight="true" ht="29" r="4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customHeight="true" ht="22" r="5">
      <c r="A5" s="4" t="s">
        <v>8</v>
      </c>
      <c r="B5" s="5" t="s">
        <v>9</v>
      </c>
      <c r="C5" s="6">
        <v>3000</v>
      </c>
      <c r="D5" s="5" t="s">
        <v>10</v>
      </c>
      <c r="E5" s="5" t="s">
        <v>11</v>
      </c>
    </row>
    <row customHeight="true" ht="22" r="6">
      <c r="A6" s="4" t="s">
        <v>12</v>
      </c>
      <c r="B6" s="5" t="s">
        <v>13</v>
      </c>
      <c r="C6" s="6">
        <v>160</v>
      </c>
      <c r="D6" s="5" t="s">
        <v>14</v>
      </c>
      <c r="E6" s="5" t="s">
        <v>15</v>
      </c>
    </row>
    <row customHeight="true" ht="22" r="7">
      <c r="A7" s="4" t="s">
        <v>16</v>
      </c>
      <c r="B7" s="5" t="s">
        <v>17</v>
      </c>
      <c r="C7" s="6">
        <v>350</v>
      </c>
      <c r="D7" s="5" t="s">
        <v>18</v>
      </c>
      <c r="E7" s="5" t="s">
        <v>19</v>
      </c>
    </row>
    <row customHeight="true" ht="22" r="8">
      <c r="A8" s="4" t="s">
        <v>20</v>
      </c>
      <c r="B8" s="5" t="s">
        <v>21</v>
      </c>
      <c r="C8" s="6">
        <v>0.94</v>
      </c>
      <c r="D8" s="5"/>
      <c r="E8" s="5" t="s">
        <v>22</v>
      </c>
    </row>
    <row customHeight="true" ht="22" r="9">
      <c r="A9" s="4" t="s">
        <v>23</v>
      </c>
      <c r="B9" s="5" t="s">
        <v>24</v>
      </c>
      <c r="C9" s="6">
        <v>0.95</v>
      </c>
      <c r="D9" s="5"/>
      <c r="E9" s="5" t="s">
        <v>25</v>
      </c>
    </row>
    <row customHeight="true" ht="22" r="10">
      <c r="A10" s="4" t="s">
        <v>26</v>
      </c>
      <c r="B10" s="5" t="s">
        <v>27</v>
      </c>
      <c r="C10" s="6">
        <v>1.1</v>
      </c>
      <c r="D10" s="5"/>
      <c r="E10" s="5" t="s">
        <v>28</v>
      </c>
    </row>
    <row customHeight="true" ht="22" r="11">
      <c r="A11" s="4" t="s">
        <v>29</v>
      </c>
      <c r="B11" s="5" t="s">
        <v>30</v>
      </c>
      <c r="C11" s="6">
        <v>20</v>
      </c>
      <c r="D11" s="5" t="s">
        <v>31</v>
      </c>
      <c r="E11" s="5" t="s">
        <v>32</v>
      </c>
    </row>
    <row customHeight="true" ht="22" r="12">
      <c r="A12" s="4" t="s">
        <v>33</v>
      </c>
      <c r="B12" s="5" t="s">
        <v>34</v>
      </c>
      <c r="C12" s="6">
        <v>11</v>
      </c>
      <c r="D12" s="5" t="s">
        <v>35</v>
      </c>
      <c r="E12" s="5" t="s">
        <v>36</v>
      </c>
    </row>
    <row customHeight="true" ht="22" r="13">
      <c r="A13" s="4" t="s">
        <v>37</v>
      </c>
      <c r="B13" s="5" t="s">
        <v>38</v>
      </c>
      <c r="C13" s="6">
        <v>3.5</v>
      </c>
      <c r="D13" s="5" t="s">
        <v>39</v>
      </c>
      <c r="E13" s="5" t="s">
        <v>40</v>
      </c>
    </row>
    <row customHeight="true" ht="22" r="14">
      <c r="A14" s="4" t="s">
        <v>41</v>
      </c>
      <c r="B14" s="5" t="s">
        <v>42</v>
      </c>
      <c r="C14" s="6">
        <v>1.65</v>
      </c>
      <c r="D14" s="5" t="s">
        <v>43</v>
      </c>
      <c r="E14" s="5" t="s">
        <v>44</v>
      </c>
    </row>
    <row customHeight="true" ht="22" r="15">
      <c r="A15" s="4" t="s">
        <v>45</v>
      </c>
      <c r="B15" s="5" t="s">
        <v>46</v>
      </c>
      <c r="C15" s="6">
        <v>16</v>
      </c>
      <c r="D15" s="5" t="s">
        <v>47</v>
      </c>
      <c r="E15" s="5" t="s">
        <v>48</v>
      </c>
    </row>
    <row customHeight="true" ht="22" r="16">
      <c r="A16" s="4" t="s">
        <v>49</v>
      </c>
      <c r="B16" s="5" t="s">
        <v>50</v>
      </c>
      <c r="C16" s="6">
        <v>10</v>
      </c>
      <c r="D16" s="5" t="s">
        <v>51</v>
      </c>
      <c r="E16" s="5" t="s">
        <v>52</v>
      </c>
    </row>
    <row customHeight="true" ht="22" r="17">
      <c r="A17" s="4" t="s">
        <v>53</v>
      </c>
      <c r="B17" s="5" t="s">
        <v>54</v>
      </c>
      <c r="C17" s="6">
        <v>16</v>
      </c>
      <c r="D17" s="5" t="s">
        <v>55</v>
      </c>
      <c r="E17" s="5" t="s">
        <v>56</v>
      </c>
    </row>
    <row customHeight="true" ht="22" r="18">
      <c r="A18" s="4" t="s">
        <v>57</v>
      </c>
      <c r="B18" s="5" t="s">
        <v>58</v>
      </c>
      <c r="C18" s="6">
        <v>3.2</v>
      </c>
      <c r="D18" s="5" t="s">
        <v>59</v>
      </c>
      <c r="E18" s="5" t="s">
        <v>60</v>
      </c>
    </row>
    <row customHeight="true" ht="22" r="19">
      <c r="A19" s="4" t="s">
        <v>61</v>
      </c>
      <c r="B19" s="5" t="s">
        <v>62</v>
      </c>
      <c r="C19" s="6">
        <v>57</v>
      </c>
      <c r="D19" s="5" t="s">
        <v>63</v>
      </c>
      <c r="E19" s="5" t="s">
        <v>64</v>
      </c>
    </row>
    <row customHeight="true" ht="15" r="20"/>
    <row customHeight="true" ht="24" r="21">
      <c r="A21" s="2" t="s">
        <v>65</v>
      </c>
    </row>
    <row customHeight="true" ht="29" r="22">
      <c r="A22" s="3" t="s">
        <v>66</v>
      </c>
      <c r="B22" s="3" t="s">
        <v>67</v>
      </c>
      <c r="C22" s="3" t="s">
        <v>68</v>
      </c>
      <c r="D22" s="3" t="s">
        <v>69</v>
      </c>
      <c r="E22" s="3" t="s">
        <v>70</v>
      </c>
    </row>
    <row customHeight="true" ht="22" r="23">
      <c r="A23" s="4" t="s">
        <v>71</v>
      </c>
      <c r="B23" s="5" t="s">
        <v>72</v>
      </c>
      <c r="C23" s="7">
        <f>2*D5*D7*D4/1000</f>
      </c>
      <c r="D23" s="5" t="s">
        <v>73</v>
      </c>
      <c r="E23" s="5" t="s">
        <v>74</v>
      </c>
    </row>
    <row customHeight="true" ht="22" r="24">
      <c r="A24" s="4" t="s">
        <v>75</v>
      </c>
      <c r="B24" s="5" t="s">
        <v>76</v>
      </c>
      <c r="C24" s="7">
        <f>2*D6*D8*D5/1000</f>
      </c>
      <c r="D24" s="5" t="s">
        <v>77</v>
      </c>
      <c r="E24" s="5" t="s">
        <v>78</v>
      </c>
    </row>
    <row customHeight="true" ht="22" r="25">
      <c r="A25" s="4" t="s">
        <v>79</v>
      </c>
      <c r="B25" s="5" t="s">
        <v>80</v>
      </c>
      <c r="C25" s="7">
        <f>D3*1000/(2*D7*D4*D5)</f>
      </c>
      <c r="D25" s="5" t="s">
        <v>81</v>
      </c>
      <c r="E25" s="5" t="s">
        <v>82</v>
      </c>
    </row>
    <row customHeight="true" ht="22" r="26">
      <c r="A26" s="4" t="s">
        <v>83</v>
      </c>
      <c r="B26" s="5" t="s">
        <v>84</v>
      </c>
      <c r="C26" s="7">
        <f>D24*100/D17</f>
      </c>
      <c r="D26" s="5" t="s">
        <v>85</v>
      </c>
      <c r="E26" s="5" t="s">
        <v>86</v>
      </c>
    </row>
    <row customHeight="true" ht="22" r="27">
      <c r="A27" s="4" t="s">
        <v>87</v>
      </c>
      <c r="B27" s="5" t="s">
        <v>88</v>
      </c>
      <c r="C27" s="7">
        <f>D25+30</f>
      </c>
      <c r="D27" s="5" t="s">
        <v>89</v>
      </c>
      <c r="E27" s="5" t="s">
        <v>90</v>
      </c>
    </row>
    <row customHeight="true" ht="22" r="28">
      <c r="A28" s="4" t="s">
        <v>91</v>
      </c>
      <c r="B28" s="5" t="s">
        <v>92</v>
      </c>
      <c r="C28" s="7">
        <f>D7*10/D9</f>
      </c>
      <c r="D28" s="5" t="s">
        <v>93</v>
      </c>
      <c r="E28" s="5" t="s">
        <v>94</v>
      </c>
    </row>
    <row customHeight="true" ht="22" r="29">
      <c r="A29" s="4" t="s">
        <v>95</v>
      </c>
      <c r="B29" s="5" t="s">
        <v>96</v>
      </c>
      <c r="C29" s="7">
        <f>D8*10/D10</f>
      </c>
      <c r="D29" s="5" t="s">
        <v>97</v>
      </c>
      <c r="E29" s="5" t="s">
        <v>98</v>
      </c>
    </row>
    <row customHeight="true" ht="22" r="30">
      <c r="A30" s="4" t="s">
        <v>99</v>
      </c>
      <c r="B30" s="5" t="s">
        <v>100</v>
      </c>
      <c r="C30" s="7">
        <f>2*D27+D11</f>
      </c>
      <c r="D30" s="5" t="s">
        <v>101</v>
      </c>
      <c r="E30" s="5" t="s">
        <v>102</v>
      </c>
    </row>
    <row customHeight="true" ht="22" r="31">
      <c r="A31" s="4" t="s">
        <v>103</v>
      </c>
      <c r="B31" s="5" t="s">
        <v>104</v>
      </c>
      <c r="C31" s="7">
        <f>2*D28+D12</f>
      </c>
      <c r="D31" s="5" t="s">
        <v>105</v>
      </c>
      <c r="E31" s="5" t="s">
        <v>106</v>
      </c>
    </row>
    <row customHeight="true" ht="22" r="32">
      <c r="A32" s="4" t="s">
        <v>107</v>
      </c>
      <c r="B32" s="5" t="s">
        <v>108</v>
      </c>
      <c r="C32" s="7">
        <f>D29+D30+2*D13</f>
      </c>
      <c r="D32" s="5" t="s">
        <v>109</v>
      </c>
      <c r="E32" s="5" t="s">
        <v>110</v>
      </c>
    </row>
    <row customHeight="true" ht="22" r="33">
      <c r="A33" s="4" t="s">
        <v>111</v>
      </c>
      <c r="B33" s="5" t="s">
        <v>112</v>
      </c>
      <c r="C33" s="7">
        <f>(17.6-D16)/(D31/1000)</f>
      </c>
      <c r="D33" s="5" t="s">
        <v>113</v>
      </c>
      <c r="E33" s="5" t="s">
        <v>114</v>
      </c>
    </row>
    <row customHeight="true" ht="22" r="34">
      <c r="A34" s="4" t="s">
        <v>115</v>
      </c>
      <c r="B34" s="5" t="s">
        <v>116</v>
      </c>
      <c r="C34" s="7">
        <f>D16 + D31/1000*D32</f>
      </c>
      <c r="D34" s="5" t="s">
        <v>117</v>
      </c>
      <c r="E34" s="5" t="s">
        <v>118</v>
      </c>
    </row>
  </sheetData>
  <mergeCells>
    <mergeCell ref="A21:B21"/>
    <mergeCell ref="A1:J1"/>
    <mergeCell ref="A3:B3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5" ySplit="4"/>
    </sheetView>
  </sheetViews>
  <sheetFormatPr defaultColWidth="14" defaultRowHeight="19"/>
  <cols>
    <col collapsed="false" customWidth="true" hidden="false" max="1" min="1" style="0" width="31"/>
    <col collapsed="false" customWidth="true" hidden="false" max="3" min="3" style="0" width="24"/>
    <col collapsed="false" customWidth="true" hidden="false" max="7" min="7" style="0" width="9"/>
    <col collapsed="false" customWidth="true" hidden="false" max="2" min="2" style="0" width="11"/>
    <col collapsed="false" customWidth="true" hidden="false" max="4" min="4" style="0" width="10"/>
    <col collapsed="false" customWidth="true" hidden="false" max="5" min="5" style="0" width="41"/>
    <col collapsed="false" customWidth="true" hidden="false" max="6" min="6" style="0" width="9"/>
    <col collapsed="false" customWidth="true" hidden="false" max="8" min="8" style="0" width="9"/>
  </cols>
  <sheetData>
    <row customHeight="true" ht="38" r="1">
      <c r="A1" s="8" t="s">
        <v>119</v>
      </c>
    </row>
    <row customHeight="true" ht="15" r="2"/>
    <row customHeight="true" ht="24" r="3">
      <c r="A3" s="9" t="s">
        <v>120</v>
      </c>
    </row>
    <row customHeight="true" ht="29" r="4">
      <c r="A4" s="10" t="s">
        <v>121</v>
      </c>
      <c r="B4" s="10" t="s">
        <v>122</v>
      </c>
      <c r="C4" s="10" t="s">
        <v>123</v>
      </c>
      <c r="D4" s="10" t="s">
        <v>124</v>
      </c>
      <c r="E4" s="10" t="s">
        <v>125</v>
      </c>
    </row>
    <row customHeight="true" ht="22" r="5">
      <c r="A5" s="11" t="s">
        <v>126</v>
      </c>
      <c r="B5" s="12" t="s">
        <v>127</v>
      </c>
      <c r="C5" s="13">
        <f>'设计总览'!D3</f>
      </c>
      <c r="D5" s="12" t="s">
        <v>128</v>
      </c>
      <c r="E5" s="12" t="s">
        <v>129</v>
      </c>
    </row>
    <row customHeight="true" ht="22" r="6">
      <c r="A6" s="11" t="s">
        <v>130</v>
      </c>
      <c r="B6" s="12" t="s">
        <v>131</v>
      </c>
      <c r="C6" s="13">
        <f>'设计总览'!D5</f>
      </c>
      <c r="D6" s="12" t="s">
        <v>132</v>
      </c>
      <c r="E6" s="12" t="s">
        <v>133</v>
      </c>
    </row>
    <row customHeight="true" ht="22" r="7">
      <c r="A7" s="11" t="s">
        <v>134</v>
      </c>
      <c r="B7" s="12" t="s">
        <v>135</v>
      </c>
      <c r="C7" s="13">
        <f>'设计总览'!D4</f>
      </c>
      <c r="D7" s="12"/>
      <c r="E7" s="12" t="s">
        <v>136</v>
      </c>
    </row>
    <row customHeight="true" ht="22" r="8">
      <c r="A8" s="11" t="s">
        <v>137</v>
      </c>
      <c r="B8" s="12" t="s">
        <v>138</v>
      </c>
      <c r="C8" s="13">
        <f>'设计总览'!D7</f>
      </c>
      <c r="D8" s="12" t="s">
        <v>139</v>
      </c>
      <c r="E8" s="12" t="s">
        <v>140</v>
      </c>
    </row>
    <row customHeight="true" ht="22" r="9">
      <c r="A9" s="11" t="s">
        <v>141</v>
      </c>
      <c r="B9" s="12" t="s">
        <v>142</v>
      </c>
      <c r="C9" s="13">
        <f>'设计总览'!D17</f>
      </c>
      <c r="D9" s="12" t="s">
        <v>143</v>
      </c>
      <c r="E9" s="12" t="s">
        <v>144</v>
      </c>
    </row>
    <row customHeight="true" ht="22" r="10">
      <c r="A10" s="11" t="s">
        <v>145</v>
      </c>
      <c r="B10" s="12" t="s">
        <v>146</v>
      </c>
      <c r="C10" s="13">
        <f>'设计总览'!D25</f>
      </c>
      <c r="D10" s="12" t="s">
        <v>147</v>
      </c>
      <c r="E10" s="12" t="s">
        <v>148</v>
      </c>
    </row>
    <row customHeight="true" ht="22" r="11">
      <c r="A11" s="11" t="s">
        <v>149</v>
      </c>
      <c r="B11" s="12" t="s">
        <v>150</v>
      </c>
      <c r="C11" s="13">
        <f>D6*D5/100</f>
      </c>
      <c r="D11" s="12" t="s">
        <v>151</v>
      </c>
      <c r="E11" s="12" t="s">
        <v>152</v>
      </c>
    </row>
    <row customHeight="true" ht="22" r="12">
      <c r="A12" s="11" t="s">
        <v>153</v>
      </c>
      <c r="B12" s="12" t="s">
        <v>154</v>
      </c>
      <c r="C12" s="13">
        <f>2*D4*D7/1000*D8</f>
      </c>
      <c r="D12" s="12" t="s">
        <v>155</v>
      </c>
      <c r="E12" s="12" t="s">
        <v>156</v>
      </c>
    </row>
    <row customHeight="true" ht="22" r="13">
      <c r="A13" s="11" t="s">
        <v>157</v>
      </c>
      <c r="B13" s="12" t="s">
        <v>158</v>
      </c>
      <c r="C13" s="13">
        <f>D9*D3</f>
      </c>
      <c r="D13" s="12" t="s">
        <v>159</v>
      </c>
      <c r="E13" s="12" t="s">
        <v>160</v>
      </c>
    </row>
    <row customHeight="true" ht="15" r="14"/>
    <row customHeight="true" ht="15" r="15"/>
    <row customHeight="true" ht="24" r="16">
      <c r="A16" s="9" t="s">
        <v>161</v>
      </c>
    </row>
    <row customHeight="true" ht="29" r="17">
      <c r="A17" s="10" t="s">
        <v>162</v>
      </c>
      <c r="B17" s="10" t="s">
        <v>163</v>
      </c>
      <c r="C17" s="10" t="s">
        <v>164</v>
      </c>
      <c r="D17" s="10" t="s">
        <v>165</v>
      </c>
      <c r="E17" s="10" t="s">
        <v>166</v>
      </c>
    </row>
    <row customHeight="true" ht="22" r="18">
      <c r="A18" s="11" t="s">
        <v>167</v>
      </c>
      <c r="B18" s="12" t="s">
        <v>168</v>
      </c>
      <c r="C18" s="13">
        <f>'设计总览'!D6</f>
      </c>
      <c r="D18" s="12" t="s">
        <v>169</v>
      </c>
      <c r="E18" s="12" t="s">
        <v>170</v>
      </c>
    </row>
    <row customHeight="true" ht="22" r="19">
      <c r="A19" s="11" t="s">
        <v>171</v>
      </c>
      <c r="B19" s="12" t="s">
        <v>172</v>
      </c>
      <c r="C19" s="13">
        <f>'设计总览'!D5</f>
      </c>
      <c r="D19" s="12"/>
      <c r="E19" s="12" t="s">
        <v>173</v>
      </c>
    </row>
    <row customHeight="true" ht="22" r="20">
      <c r="A20" s="11" t="s">
        <v>174</v>
      </c>
      <c r="B20" s="12" t="s">
        <v>175</v>
      </c>
      <c r="C20" s="13">
        <f>'设计总览'!D8</f>
      </c>
      <c r="D20" s="12" t="s">
        <v>176</v>
      </c>
      <c r="E20" s="12" t="s">
        <v>177</v>
      </c>
    </row>
    <row customHeight="true" ht="22" r="21">
      <c r="A21" s="11" t="s">
        <v>178</v>
      </c>
      <c r="B21" s="12" t="s">
        <v>179</v>
      </c>
      <c r="C21" s="13">
        <f>'设计总览'!D17+2.5</f>
      </c>
      <c r="D21" s="12" t="s">
        <v>180</v>
      </c>
      <c r="E21" s="12" t="s">
        <v>181</v>
      </c>
    </row>
    <row customHeight="true" ht="22" r="22">
      <c r="A22" s="11" t="s">
        <v>182</v>
      </c>
      <c r="B22" s="12" t="s">
        <v>183</v>
      </c>
      <c r="C22" s="13">
        <f>'设计总览'!D26</f>
      </c>
      <c r="D22" s="12" t="s">
        <v>184</v>
      </c>
      <c r="E22" s="12" t="s">
        <v>185</v>
      </c>
    </row>
    <row customHeight="true" ht="22" r="23">
      <c r="A23" s="11" t="s">
        <v>186</v>
      </c>
      <c r="B23" s="12" t="s">
        <v>187</v>
      </c>
      <c r="C23" s="13">
        <f>D21*D20/100</f>
      </c>
      <c r="D23" s="12" t="s">
        <v>188</v>
      </c>
      <c r="E23" s="12" t="s">
        <v>189</v>
      </c>
    </row>
    <row customHeight="true" ht="22" r="24">
      <c r="A24" s="11" t="s">
        <v>190</v>
      </c>
      <c r="B24" s="12" t="s">
        <v>191</v>
      </c>
      <c r="C24" s="13">
        <f>2*D19*D21/1000*D22</f>
      </c>
      <c r="D24" s="12" t="s">
        <v>192</v>
      </c>
      <c r="E24" s="12" t="s">
        <v>193</v>
      </c>
    </row>
    <row customHeight="true" ht="22" r="25">
      <c r="A25" s="11" t="s">
        <v>194</v>
      </c>
      <c r="B25" s="12" t="s">
        <v>195</v>
      </c>
      <c r="C25" s="13">
        <f>D23*D18</f>
      </c>
      <c r="D25" s="12" t="s">
        <v>196</v>
      </c>
      <c r="E25" s="12" t="s">
        <v>197</v>
      </c>
    </row>
    <row customHeight="true" ht="22" r="26">
      <c r="A26" s="11" t="s">
        <v>198</v>
      </c>
      <c r="B26" s="12" t="s">
        <v>199</v>
      </c>
      <c r="C26" s="13">
        <f>D24/D14</f>
      </c>
      <c r="D26" s="12"/>
      <c r="E26" s="12" t="s">
        <v>200</v>
      </c>
    </row>
  </sheetData>
  <mergeCells>
    <mergeCell ref="A3:B3"/>
    <mergeCell ref="A16:B16"/>
    <mergeCell ref="A1:H1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5" ySplit="4"/>
    </sheetView>
  </sheetViews>
  <sheetFormatPr defaultColWidth="14" defaultRowHeight="19"/>
  <cols>
    <col collapsed="false" customWidth="true" hidden="false" max="1" min="1" style="0" width="31"/>
    <col collapsed="false" customWidth="true" hidden="false" max="3" min="3" style="0" width="18"/>
    <col collapsed="false" customWidth="true" hidden="false" max="5" min="5" style="0" width="47"/>
    <col collapsed="false" customWidth="true" hidden="false" max="7" min="7" style="0" width="9"/>
    <col collapsed="false" customWidth="true" hidden="false" max="2" min="2" style="0" width="15"/>
    <col collapsed="false" customWidth="true" hidden="false" max="4" min="4" style="0" width="10"/>
    <col collapsed="false" customWidth="true" hidden="false" max="6" min="6" style="0" width="9"/>
    <col collapsed="false" customWidth="true" hidden="false" max="8" min="8" style="0" width="9"/>
  </cols>
  <sheetData>
    <row customHeight="true" ht="38" r="1">
      <c r="A1" s="14" t="s">
        <v>201</v>
      </c>
    </row>
    <row customHeight="true" ht="15" r="2"/>
    <row customHeight="true" ht="24" r="3">
      <c r="A3" s="15" t="s">
        <v>202</v>
      </c>
    </row>
    <row customHeight="true" ht="29" r="4">
      <c r="A4" s="16" t="s">
        <v>203</v>
      </c>
      <c r="B4" s="16" t="s">
        <v>204</v>
      </c>
      <c r="C4" s="16" t="s">
        <v>205</v>
      </c>
      <c r="D4" s="16" t="s">
        <v>206</v>
      </c>
      <c r="E4" s="16" t="s">
        <v>207</v>
      </c>
    </row>
    <row customHeight="true" ht="22" r="5">
      <c r="A5" s="17" t="s">
        <v>208</v>
      </c>
      <c r="B5" s="18" t="s">
        <v>209</v>
      </c>
      <c r="C5" s="19">
        <f>'设计总览'!D7</f>
      </c>
      <c r="D5" s="18" t="s">
        <v>210</v>
      </c>
      <c r="E5" s="18" t="s">
        <v>211</v>
      </c>
    </row>
    <row customHeight="true" ht="22" r="6">
      <c r="A6" s="17" t="s">
        <v>212</v>
      </c>
      <c r="B6" s="18" t="s">
        <v>213</v>
      </c>
      <c r="C6" s="19">
        <f>'设计总览'!D9</f>
      </c>
      <c r="D6" s="18" t="s">
        <v>214</v>
      </c>
      <c r="E6" s="18" t="s">
        <v>215</v>
      </c>
    </row>
    <row customHeight="true" ht="22" r="7">
      <c r="A7" s="17" t="s">
        <v>216</v>
      </c>
      <c r="B7" s="18" t="s">
        <v>217</v>
      </c>
      <c r="C7" s="19">
        <f>D4*10/D5</f>
      </c>
      <c r="D7" s="18" t="s">
        <v>218</v>
      </c>
      <c r="E7" s="18" t="s">
        <v>219</v>
      </c>
    </row>
    <row customHeight="true" ht="22" r="8">
      <c r="A8" s="17" t="s">
        <v>220</v>
      </c>
      <c r="B8" s="18" t="s">
        <v>221</v>
      </c>
      <c r="C8" s="19">
        <f>'设计总览'!D11</f>
      </c>
      <c r="D8" s="18" t="s">
        <v>222</v>
      </c>
      <c r="E8" s="18" t="s">
        <v>223</v>
      </c>
    </row>
    <row customHeight="true" ht="22" r="9">
      <c r="A9" s="17" t="s">
        <v>224</v>
      </c>
      <c r="B9" s="18" t="s">
        <v>225</v>
      </c>
      <c r="C9" s="19">
        <f>2*D6+D7</f>
      </c>
      <c r="D9" s="18" t="s">
        <v>226</v>
      </c>
      <c r="E9" s="18" t="s">
        <v>227</v>
      </c>
    </row>
    <row customHeight="true" ht="22" r="10">
      <c r="A10" s="17" t="s">
        <v>228</v>
      </c>
      <c r="B10" s="18" t="s">
        <v>229</v>
      </c>
      <c r="C10" s="19">
        <v>4.8</v>
      </c>
      <c r="D10" s="18" t="s">
        <v>230</v>
      </c>
      <c r="E10" s="18" t="s">
        <v>231</v>
      </c>
    </row>
    <row customHeight="true" ht="22" r="11">
      <c r="A11" s="17" t="s">
        <v>232</v>
      </c>
      <c r="B11" s="18" t="s">
        <v>233</v>
      </c>
      <c r="C11" s="19">
        <v>4.2</v>
      </c>
      <c r="D11" s="18" t="s">
        <v>234</v>
      </c>
      <c r="E11" s="18" t="s">
        <v>235</v>
      </c>
    </row>
    <row customHeight="true" ht="22" r="12">
      <c r="A12" s="17" t="s">
        <v>236</v>
      </c>
      <c r="B12" s="18" t="s">
        <v>237</v>
      </c>
      <c r="C12" s="19">
        <f>1-D5/D9</f>
      </c>
      <c r="D12" s="18"/>
      <c r="E12" s="18" t="s">
        <v>238</v>
      </c>
    </row>
    <row customHeight="true" ht="15" r="13"/>
    <row customHeight="true" ht="15" r="14"/>
    <row customHeight="true" ht="24" r="15">
      <c r="A15" s="15" t="s">
        <v>239</v>
      </c>
    </row>
    <row customHeight="true" ht="29" r="16">
      <c r="A16" s="16" t="s">
        <v>240</v>
      </c>
      <c r="B16" s="16" t="s">
        <v>241</v>
      </c>
      <c r="C16" s="16" t="s">
        <v>242</v>
      </c>
      <c r="D16" s="16" t="s">
        <v>243</v>
      </c>
      <c r="E16" s="16" t="s">
        <v>244</v>
      </c>
    </row>
    <row customHeight="true" ht="22" r="17">
      <c r="A17" s="17" t="s">
        <v>245</v>
      </c>
      <c r="B17" s="18" t="s">
        <v>246</v>
      </c>
      <c r="C17" s="19">
        <f>'设计总览'!D8</f>
      </c>
      <c r="D17" s="18" t="s">
        <v>247</v>
      </c>
      <c r="E17" s="18" t="s">
        <v>248</v>
      </c>
    </row>
    <row customHeight="true" ht="22" r="18">
      <c r="A18" s="17" t="s">
        <v>249</v>
      </c>
      <c r="B18" s="18" t="s">
        <v>250</v>
      </c>
      <c r="C18" s="19">
        <f>'设计总览'!D10</f>
      </c>
      <c r="D18" s="18" t="s">
        <v>251</v>
      </c>
      <c r="E18" s="18" t="s">
        <v>252</v>
      </c>
    </row>
    <row customHeight="true" ht="22" r="19">
      <c r="A19" s="17" t="s">
        <v>253</v>
      </c>
      <c r="B19" s="18" t="s">
        <v>254</v>
      </c>
      <c r="C19" s="19">
        <f>D17*10/D18</f>
      </c>
      <c r="D19" s="18" t="s">
        <v>255</v>
      </c>
      <c r="E19" s="18" t="s">
        <v>256</v>
      </c>
    </row>
    <row customHeight="true" ht="22" r="20">
      <c r="A20" s="17" t="s">
        <v>257</v>
      </c>
      <c r="B20" s="18" t="s">
        <v>258</v>
      </c>
      <c r="C20" s="19">
        <f>'设计总览'!D12</f>
      </c>
      <c r="D20" s="18" t="s">
        <v>259</v>
      </c>
      <c r="E20" s="18" t="s">
        <v>260</v>
      </c>
    </row>
    <row customHeight="true" ht="22" r="21">
      <c r="A21" s="17" t="s">
        <v>261</v>
      </c>
      <c r="B21" s="18" t="s">
        <v>262</v>
      </c>
      <c r="C21" s="19">
        <f>2*D19+D20</f>
      </c>
      <c r="D21" s="18" t="s">
        <v>263</v>
      </c>
      <c r="E21" s="18" t="s">
        <v>264</v>
      </c>
    </row>
    <row customHeight="true" ht="22" r="22">
      <c r="A22" s="17" t="s">
        <v>265</v>
      </c>
      <c r="B22" s="18" t="s">
        <v>266</v>
      </c>
      <c r="C22" s="19">
        <v>2.2</v>
      </c>
      <c r="D22" s="18" t="s">
        <v>267</v>
      </c>
      <c r="E22" s="18" t="s">
        <v>268</v>
      </c>
    </row>
    <row customHeight="true" ht="22" r="23">
      <c r="A23" s="17" t="s">
        <v>269</v>
      </c>
      <c r="B23" s="18" t="s">
        <v>270</v>
      </c>
      <c r="C23" s="19">
        <v>2</v>
      </c>
      <c r="D23" s="18" t="s">
        <v>271</v>
      </c>
      <c r="E23" s="18" t="s">
        <v>272</v>
      </c>
    </row>
    <row customHeight="true" ht="22" r="24">
      <c r="A24" s="17" t="s">
        <v>273</v>
      </c>
      <c r="B24" s="18" t="s">
        <v>274</v>
      </c>
      <c r="C24" s="19">
        <f>1-D18/D23</f>
      </c>
      <c r="D24" s="18"/>
      <c r="E24" s="18" t="s">
        <v>275</v>
      </c>
    </row>
  </sheetData>
  <mergeCells>
    <mergeCell ref="A3:B3"/>
    <mergeCell ref="A15:B15"/>
    <mergeCell ref="A1:H1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5" ySplit="4"/>
    </sheetView>
  </sheetViews>
  <sheetFormatPr defaultColWidth="14" defaultRowHeight="19"/>
  <cols>
    <col collapsed="false" customWidth="true" hidden="false" max="1" min="1" style="0" width="35"/>
    <col collapsed="false" customWidth="true" hidden="false" max="3" min="3" style="0" width="35"/>
    <col collapsed="false" customWidth="true" hidden="false" max="5" min="5" style="0" width="51"/>
    <col collapsed="false" customWidth="true" hidden="false" max="7" min="7" style="0" width="9"/>
    <col collapsed="false" customWidth="true" hidden="false" max="2" min="2" style="0" width="15"/>
    <col collapsed="false" customWidth="true" hidden="false" max="4" min="4" style="0" width="9"/>
    <col collapsed="false" customWidth="true" hidden="false" max="6" min="6" style="0" width="9"/>
    <col collapsed="false" customWidth="true" hidden="false" max="8" min="8" style="0" width="9"/>
  </cols>
  <sheetData>
    <row customHeight="true" ht="38" r="1">
      <c r="A1" s="20" t="s">
        <v>276</v>
      </c>
    </row>
    <row customHeight="true" ht="15" r="2"/>
    <row customHeight="true" ht="24" r="3">
      <c r="A3" s="21" t="s">
        <v>277</v>
      </c>
    </row>
    <row customHeight="true" ht="29" r="4">
      <c r="A4" s="22" t="s">
        <v>278</v>
      </c>
      <c r="B4" s="22" t="s">
        <v>279</v>
      </c>
      <c r="C4" s="22" t="s">
        <v>280</v>
      </c>
      <c r="D4" s="22" t="s">
        <v>281</v>
      </c>
      <c r="E4" s="22" t="s">
        <v>282</v>
      </c>
    </row>
    <row customHeight="true" ht="22" r="5">
      <c r="A5" s="23" t="s">
        <v>283</v>
      </c>
      <c r="B5" s="24" t="s">
        <v>284</v>
      </c>
      <c r="C5" s="25">
        <f>'设计总览'!D16</f>
      </c>
      <c r="D5" s="24" t="s">
        <v>285</v>
      </c>
      <c r="E5" s="24" t="s">
        <v>286</v>
      </c>
    </row>
    <row customHeight="true" ht="22" r="6">
      <c r="A6" s="23" t="s">
        <v>287</v>
      </c>
      <c r="B6" s="24" t="s">
        <v>288</v>
      </c>
      <c r="C6" s="25">
        <f>'设计总览'!D29</f>
      </c>
      <c r="D6" s="24" t="s">
        <v>289</v>
      </c>
      <c r="E6" s="24" t="s">
        <v>290</v>
      </c>
    </row>
    <row customHeight="true" ht="22" r="7">
      <c r="A7" s="23" t="s">
        <v>291</v>
      </c>
      <c r="B7" s="24" t="s">
        <v>292</v>
      </c>
      <c r="C7" s="25">
        <f>'设计总览'!D30</f>
      </c>
      <c r="D7" s="24" t="s">
        <v>293</v>
      </c>
      <c r="E7" s="24" t="s">
        <v>294</v>
      </c>
    </row>
    <row customHeight="true" ht="22" r="8">
      <c r="A8" s="23" t="s">
        <v>295</v>
      </c>
      <c r="B8" s="24" t="s">
        <v>296</v>
      </c>
      <c r="C8" s="25">
        <f>'设计总览'!D13</f>
      </c>
      <c r="D8" s="24" t="s">
        <v>297</v>
      </c>
      <c r="E8" s="24" t="s">
        <v>298</v>
      </c>
    </row>
    <row customHeight="true" ht="22" r="9">
      <c r="A9" s="23" t="s">
        <v>299</v>
      </c>
      <c r="B9" s="24" t="s">
        <v>300</v>
      </c>
      <c r="C9" s="25">
        <f>D5+D6+2*D7</f>
      </c>
      <c r="D9" s="24" t="s">
        <v>301</v>
      </c>
      <c r="E9" s="24" t="s">
        <v>302</v>
      </c>
    </row>
    <row customHeight="true" ht="22" r="10">
      <c r="A10" s="23" t="s">
        <v>303</v>
      </c>
      <c r="B10" s="24" t="s">
        <v>304</v>
      </c>
      <c r="C10" s="25">
        <f>D8/1000</f>
      </c>
      <c r="D10" s="24" t="s">
        <v>305</v>
      </c>
      <c r="E10" s="24" t="s">
        <v>306</v>
      </c>
    </row>
    <row customHeight="true" ht="22" r="11">
      <c r="A11" s="23" t="s">
        <v>307</v>
      </c>
      <c r="B11" s="24" t="s">
        <v>308</v>
      </c>
      <c r="C11" s="25">
        <v>17.8</v>
      </c>
      <c r="D11" s="24" t="s">
        <v>309</v>
      </c>
      <c r="E11" s="24" t="s">
        <v>310</v>
      </c>
    </row>
    <row customHeight="true" ht="22" r="12">
      <c r="A12" s="23" t="s">
        <v>311</v>
      </c>
      <c r="B12" s="24" t="s">
        <v>312</v>
      </c>
      <c r="C12" s="25">
        <v>17.6</v>
      </c>
      <c r="D12" s="24" t="s">
        <v>313</v>
      </c>
      <c r="E12" s="24" t="s">
        <v>314</v>
      </c>
    </row>
    <row customHeight="true" ht="15" r="13"/>
    <row customHeight="true" ht="15" r="14"/>
    <row customHeight="true" ht="24" r="15">
      <c r="A15" s="21" t="s">
        <v>315</v>
      </c>
    </row>
    <row customHeight="true" ht="29" r="16">
      <c r="A16" s="22" t="s">
        <v>316</v>
      </c>
      <c r="B16" s="22" t="s">
        <v>317</v>
      </c>
      <c r="C16" s="22" t="s">
        <v>318</v>
      </c>
      <c r="D16" s="22" t="s">
        <v>319</v>
      </c>
      <c r="E16" s="22" t="s">
        <v>320</v>
      </c>
    </row>
    <row customHeight="true" ht="22" r="17">
      <c r="A17" s="23" t="s">
        <v>321</v>
      </c>
      <c r="B17" s="24" t="s">
        <v>322</v>
      </c>
      <c r="C17" s="25">
        <f>(D12-D4)/D9</f>
      </c>
      <c r="D17" s="24" t="s">
        <v>323</v>
      </c>
      <c r="E17" s="24" t="s">
        <v>324</v>
      </c>
    </row>
    <row customHeight="true" ht="22" r="18">
      <c r="A18" s="23" t="s">
        <v>325</v>
      </c>
      <c r="B18" s="24" t="s">
        <v>326</v>
      </c>
      <c r="C18" s="25">
        <f>INT(D17)</f>
      </c>
      <c r="D18" s="24" t="s">
        <v>327</v>
      </c>
      <c r="E18" s="24" t="s">
        <v>328</v>
      </c>
    </row>
    <row customHeight="true" ht="22" r="19">
      <c r="A19" s="23" t="s">
        <v>329</v>
      </c>
      <c r="B19" s="24" t="s">
        <v>330</v>
      </c>
      <c r="C19" s="25">
        <f>D4+D9</f>
      </c>
      <c r="D19" s="24" t="s">
        <v>331</v>
      </c>
      <c r="E19" s="24" t="s">
        <v>332</v>
      </c>
    </row>
    <row customHeight="true" ht="22" r="20">
      <c r="A20" s="23" t="s">
        <v>333</v>
      </c>
      <c r="B20" s="24" t="s">
        <v>334</v>
      </c>
      <c r="C20" s="25">
        <f>PI()*D19</f>
      </c>
      <c r="D20" s="24" t="s">
        <v>335</v>
      </c>
      <c r="E20" s="24" t="s">
        <v>336</v>
      </c>
    </row>
    <row customHeight="true" ht="22" r="21">
      <c r="A21" s="23" t="s">
        <v>337</v>
      </c>
      <c r="B21" s="24" t="s">
        <v>338</v>
      </c>
      <c r="C21" s="25">
        <f>D4+D18*D9</f>
      </c>
      <c r="D21" s="24" t="s">
        <v>339</v>
      </c>
      <c r="E21" s="24" t="s">
        <v>340</v>
      </c>
    </row>
    <row customHeight="true" ht="22" r="22">
      <c r="A22" s="23" t="s">
        <v>341</v>
      </c>
      <c r="B22" s="24" t="s">
        <v>342</v>
      </c>
      <c r="C22" s="25">
        <f>PI()*D21</f>
      </c>
      <c r="D22" s="24" t="s">
        <v>343</v>
      </c>
      <c r="E22" s="24" t="s">
        <v>344</v>
      </c>
    </row>
    <row customHeight="true" ht="22" r="23">
      <c r="A23" s="23" t="s">
        <v>345</v>
      </c>
      <c r="B23" s="24" t="s">
        <v>346</v>
      </c>
      <c r="C23" s="25">
        <f>D18*PI()*(D4 + D9*(D18+1)/2)</f>
      </c>
      <c r="D23" s="24" t="s">
        <v>347</v>
      </c>
      <c r="E23" s="24" t="s">
        <v>348</v>
      </c>
    </row>
    <row customHeight="true" ht="22" r="24">
      <c r="A24" s="23" t="s">
        <v>349</v>
      </c>
      <c r="B24" s="24" t="s">
        <v>350</v>
      </c>
      <c r="C24" s="25">
        <f>'设计总览'!D25</f>
      </c>
      <c r="D24" s="24" t="s">
        <v>351</v>
      </c>
      <c r="E24" s="24" t="s">
        <v>352</v>
      </c>
    </row>
    <row customHeight="true" ht="22" r="25">
      <c r="A25" s="23" t="s">
        <v>353</v>
      </c>
      <c r="B25" s="24" t="s">
        <v>354</v>
      </c>
      <c r="C25" s="25">
        <f>'设计总览'!D26</f>
      </c>
      <c r="D25" s="24" t="s">
        <v>355</v>
      </c>
      <c r="E25" s="24" t="s">
        <v>356</v>
      </c>
    </row>
    <row customHeight="true" ht="22" r="26">
      <c r="A26" s="23" t="s">
        <v>357</v>
      </c>
      <c r="B26" s="24" t="s">
        <v>358</v>
      </c>
      <c r="C26" s="25">
        <f>D4+D18*D9</f>
      </c>
      <c r="D26" s="24" t="s">
        <v>359</v>
      </c>
      <c r="E26" s="24" t="s">
        <v>360</v>
      </c>
    </row>
    <row customHeight="true" ht="22" r="27">
      <c r="A27" s="23" t="s">
        <v>361</v>
      </c>
      <c r="B27" s="24" t="s">
        <v>362</v>
      </c>
      <c r="C27" s="25">
        <f>D12-D26</f>
      </c>
      <c r="D27" s="24" t="s">
        <v>363</v>
      </c>
      <c r="E27" s="24" t="s">
        <v>364</v>
      </c>
    </row>
  </sheetData>
  <mergeCells>
    <mergeCell ref="A3:B3"/>
    <mergeCell ref="A15:B15"/>
    <mergeCell ref="A1:H1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5" ySplit="4"/>
    </sheetView>
  </sheetViews>
  <sheetFormatPr defaultColWidth="14" defaultRowHeight="19"/>
  <cols>
    <col collapsed="false" customWidth="true" hidden="false" max="7" min="7" style="0" width="19"/>
    <col collapsed="false" customWidth="true" hidden="false" max="1" min="1" style="0" width="46"/>
    <col collapsed="false" customWidth="true" hidden="false" max="2" min="2" style="0" width="22"/>
    <col collapsed="false" customWidth="true" hidden="false" max="3" min="3" style="0" width="18"/>
    <col collapsed="false" customWidth="true" hidden="false" max="4" min="4" style="0" width="23"/>
    <col collapsed="false" customWidth="true" hidden="false" max="5" min="5" style="0" width="41"/>
    <col collapsed="false" customWidth="true" hidden="false" max="6" min="6" style="0" width="21"/>
  </cols>
  <sheetData>
    <row customHeight="true" ht="38" r="1">
      <c r="A1" s="26" t="s">
        <v>365</v>
      </c>
    </row>
    <row customHeight="true" ht="15" r="2"/>
    <row customHeight="true" ht="24" r="3">
      <c r="A3" s="27" t="s">
        <v>366</v>
      </c>
    </row>
    <row customHeight="true" ht="29" r="4">
      <c r="A4" s="28" t="s">
        <v>367</v>
      </c>
      <c r="B4" s="28" t="s">
        <v>368</v>
      </c>
      <c r="C4" s="28" t="s">
        <v>369</v>
      </c>
      <c r="D4" s="28" t="s">
        <v>370</v>
      </c>
      <c r="E4" s="28" t="s">
        <v>371</v>
      </c>
      <c r="F4" s="28" t="s">
        <v>372</v>
      </c>
      <c r="G4" s="28" t="s">
        <v>373</v>
      </c>
    </row>
    <row customHeight="true" ht="22" r="5">
      <c r="A5" s="29" t="s">
        <v>374</v>
      </c>
      <c r="B5" s="30">
        <v>160</v>
      </c>
      <c r="C5" s="30">
        <v>94</v>
      </c>
      <c r="D5" s="30" t="s">
        <v>375</v>
      </c>
      <c r="E5" s="30" t="s">
        <v>376</v>
      </c>
      <c r="F5" s="30" t="s">
        <v>377</v>
      </c>
      <c r="G5" s="29" t="s">
        <v>378</v>
      </c>
    </row>
    <row customHeight="true" ht="22" r="6">
      <c r="A6" s="29" t="s">
        <v>379</v>
      </c>
      <c r="B6" s="30">
        <v>190</v>
      </c>
      <c r="C6" s="30">
        <v>94</v>
      </c>
      <c r="D6" s="30" t="s">
        <v>380</v>
      </c>
      <c r="E6" s="30" t="s">
        <v>381</v>
      </c>
      <c r="F6" s="30" t="s">
        <v>382</v>
      </c>
      <c r="G6" s="29" t="s">
        <v>383</v>
      </c>
    </row>
    <row customHeight="true" ht="22" r="7">
      <c r="A7" s="29" t="s">
        <v>384</v>
      </c>
      <c r="B7" s="30">
        <v>150</v>
      </c>
      <c r="C7" s="30">
        <v>95</v>
      </c>
      <c r="D7" s="30" t="s">
        <v>385</v>
      </c>
      <c r="E7" s="30" t="s">
        <v>386</v>
      </c>
      <c r="F7" s="30" t="s">
        <v>387</v>
      </c>
      <c r="G7" s="29" t="s">
        <v>388</v>
      </c>
    </row>
    <row customHeight="true" ht="22" r="8">
      <c r="A8" s="29" t="s">
        <v>389</v>
      </c>
      <c r="B8" s="30">
        <v>140</v>
      </c>
      <c r="C8" s="30">
        <v>93</v>
      </c>
      <c r="D8" s="30" t="s">
        <v>390</v>
      </c>
      <c r="E8" s="30" t="s">
        <v>391</v>
      </c>
      <c r="F8" s="30" t="s">
        <v>392</v>
      </c>
      <c r="G8" s="29" t="s">
        <v>393</v>
      </c>
    </row>
    <row customHeight="true" ht="15" r="9"/>
    <row customHeight="true" ht="24" r="10">
      <c r="A10" s="27" t="s">
        <v>394</v>
      </c>
    </row>
    <row customHeight="true" ht="29" r="11">
      <c r="A11" s="28" t="s">
        <v>395</v>
      </c>
      <c r="B11" s="28" t="s">
        <v>396</v>
      </c>
      <c r="C11" s="28" t="s">
        <v>397</v>
      </c>
      <c r="D11" s="28" t="s">
        <v>398</v>
      </c>
      <c r="E11" s="28" t="s">
        <v>399</v>
      </c>
      <c r="F11" s="28" t="s">
        <v>400</v>
      </c>
      <c r="G11" s="28" t="s">
        <v>401</v>
      </c>
    </row>
    <row customHeight="true" ht="22" r="12">
      <c r="A12" s="29" t="s">
        <v>402</v>
      </c>
      <c r="B12" s="30">
        <v>350</v>
      </c>
      <c r="C12" s="30">
        <v>95</v>
      </c>
      <c r="D12" s="30" t="s">
        <v>403</v>
      </c>
      <c r="E12" s="30" t="s">
        <v>404</v>
      </c>
      <c r="F12" s="30" t="s">
        <v>405</v>
      </c>
      <c r="G12" s="29" t="s">
        <v>406</v>
      </c>
    </row>
    <row customHeight="true" ht="22" r="13">
      <c r="A13" s="29" t="s">
        <v>407</v>
      </c>
      <c r="B13" s="30">
        <v>320</v>
      </c>
      <c r="C13" s="30">
        <v>95</v>
      </c>
      <c r="D13" s="30" t="s">
        <v>408</v>
      </c>
      <c r="E13" s="30" t="s">
        <v>409</v>
      </c>
      <c r="F13" s="30" t="s">
        <v>410</v>
      </c>
      <c r="G13" s="29" t="s">
        <v>411</v>
      </c>
    </row>
    <row customHeight="true" ht="22" r="14">
      <c r="A14" s="29" t="s">
        <v>412</v>
      </c>
      <c r="B14" s="30">
        <v>300</v>
      </c>
      <c r="C14" s="30">
        <v>94</v>
      </c>
      <c r="D14" s="30" t="s">
        <v>413</v>
      </c>
      <c r="E14" s="30" t="s">
        <v>414</v>
      </c>
      <c r="F14" s="30" t="s">
        <v>415</v>
      </c>
      <c r="G14" s="29" t="s">
        <v>416</v>
      </c>
    </row>
    <row customHeight="true" ht="22" r="15">
      <c r="A15" s="29" t="s">
        <v>417</v>
      </c>
      <c r="B15" s="30">
        <v>450</v>
      </c>
      <c r="C15" s="30">
        <v>92</v>
      </c>
      <c r="D15" s="30" t="s">
        <v>418</v>
      </c>
      <c r="E15" s="30" t="s">
        <v>419</v>
      </c>
      <c r="F15" s="30" t="s">
        <v>420</v>
      </c>
      <c r="G15" s="29" t="s">
        <v>421</v>
      </c>
    </row>
    <row customHeight="true" ht="15" r="16"/>
    <row customHeight="true" ht="24" r="17">
      <c r="A17" s="27" t="s">
        <v>422</v>
      </c>
    </row>
    <row customHeight="true" ht="29" r="18">
      <c r="A18" s="28" t="s">
        <v>423</v>
      </c>
      <c r="B18" s="28" t="s">
        <v>424</v>
      </c>
      <c r="C18" s="28" t="s">
        <v>425</v>
      </c>
      <c r="D18" s="28" t="s">
        <v>426</v>
      </c>
      <c r="E18" s="28" t="s">
        <v>427</v>
      </c>
    </row>
    <row customHeight="true" ht="22" r="19">
      <c r="A19" s="29" t="s">
        <v>428</v>
      </c>
      <c r="B19" s="29" t="s">
        <v>429</v>
      </c>
      <c r="C19" s="30">
        <v>16</v>
      </c>
      <c r="D19" s="30" t="s">
        <v>430</v>
      </c>
      <c r="E19" s="29" t="s">
        <v>431</v>
      </c>
    </row>
    <row customHeight="true" ht="22" r="20">
      <c r="A20" s="29" t="s">
        <v>432</v>
      </c>
      <c r="B20" s="29" t="s">
        <v>433</v>
      </c>
      <c r="C20" s="30">
        <v>10</v>
      </c>
      <c r="D20" s="30" t="s">
        <v>434</v>
      </c>
      <c r="E20" s="29" t="s">
        <v>435</v>
      </c>
    </row>
    <row customHeight="true" ht="22" r="21">
      <c r="A21" s="29" t="s">
        <v>436</v>
      </c>
      <c r="B21" s="29" t="s">
        <v>437</v>
      </c>
      <c r="C21" s="30">
        <v>16</v>
      </c>
      <c r="D21" s="30" t="s">
        <v>438</v>
      </c>
      <c r="E21" s="29" t="s">
        <v>439</v>
      </c>
    </row>
    <row customHeight="true" ht="22" r="22">
      <c r="A22" s="29" t="s">
        <v>440</v>
      </c>
      <c r="B22" s="29" t="s">
        <v>441</v>
      </c>
      <c r="C22" s="30">
        <v>3.2</v>
      </c>
      <c r="D22" s="30" t="s">
        <v>442</v>
      </c>
      <c r="E22" s="29" t="s">
        <v>443</v>
      </c>
    </row>
    <row customHeight="true" ht="22" r="23">
      <c r="A23" s="29" t="s">
        <v>444</v>
      </c>
      <c r="B23" s="29" t="s">
        <v>445</v>
      </c>
      <c r="C23" s="30">
        <v>1.1</v>
      </c>
      <c r="D23" s="30"/>
      <c r="E23" s="29" t="s">
        <v>446</v>
      </c>
    </row>
    <row customHeight="true" ht="22" r="24">
      <c r="A24" s="29" t="s">
        <v>447</v>
      </c>
      <c r="B24" s="29" t="s">
        <v>448</v>
      </c>
      <c r="C24" s="30">
        <v>57</v>
      </c>
      <c r="D24" s="30" t="s">
        <v>449</v>
      </c>
      <c r="E24" s="29" t="s">
        <v>450</v>
      </c>
    </row>
  </sheetData>
  <mergeCells>
    <mergeCell ref="A3:B3"/>
    <mergeCell ref="A1:G1"/>
    <mergeCell ref="A10:B10"/>
    <mergeCell ref="A17:B1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{"Label":"1","ContentProducer":"001191110102MACQD9K64010000","ProduceID":"7653406919105760488","ReservedCode1":"","ContentPropagator":"","PropagateID":"","ReservedCode2":""}</vt:lpwstr>
  </property>
</Properties>
</file>