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I:\0中科院过程所\6# 个人工作总结\锂想生活公众号文章2022\4680电池制造工艺\"/>
    </mc:Choice>
  </mc:AlternateContent>
  <bookViews>
    <workbookView xWindow="0" yWindow="0" windowWidth="15440" windowHeight="7590"/>
  </bookViews>
  <sheets>
    <sheet name="试验电池设计 (20220407)" sheetId="26" r:id="rId1"/>
  </sheets>
  <definedNames>
    <definedName name="试验内容">#REF!</definedName>
  </definedNames>
  <calcPr calcId="162913"/>
</workbook>
</file>

<file path=xl/calcChain.xml><?xml version="1.0" encoding="utf-8"?>
<calcChain xmlns="http://schemas.openxmlformats.org/spreadsheetml/2006/main">
  <c r="R190" i="26" l="1"/>
  <c r="Q190" i="26"/>
  <c r="T188" i="26"/>
  <c r="S188" i="26"/>
  <c r="S123" i="26" s="1"/>
  <c r="R188" i="26"/>
  <c r="R123" i="26" s="1"/>
  <c r="Q188" i="26"/>
  <c r="P188" i="26"/>
  <c r="O188" i="26"/>
  <c r="O123" i="26" s="1"/>
  <c r="N188" i="26"/>
  <c r="M188" i="26"/>
  <c r="L188" i="26"/>
  <c r="L123" i="26" s="1"/>
  <c r="K188" i="26"/>
  <c r="K123" i="26" s="1"/>
  <c r="T187" i="26"/>
  <c r="T137" i="26" s="1"/>
  <c r="T113" i="26" s="1"/>
  <c r="T69" i="26" s="1"/>
  <c r="S187" i="26"/>
  <c r="R187" i="26"/>
  <c r="Q187" i="26"/>
  <c r="Q140" i="26" s="1"/>
  <c r="Q141" i="26" s="1"/>
  <c r="P187" i="26"/>
  <c r="O187" i="26"/>
  <c r="N187" i="26"/>
  <c r="N137" i="26" s="1"/>
  <c r="M187" i="26"/>
  <c r="M137" i="26" s="1"/>
  <c r="M113" i="26" s="1"/>
  <c r="M69" i="26" s="1"/>
  <c r="M40" i="26" s="1"/>
  <c r="L187" i="26"/>
  <c r="K187" i="26"/>
  <c r="K137" i="26" s="1"/>
  <c r="K113" i="26" s="1"/>
  <c r="T185" i="26"/>
  <c r="S185" i="26"/>
  <c r="R185" i="26"/>
  <c r="Q185" i="26"/>
  <c r="P185" i="26"/>
  <c r="O185" i="26"/>
  <c r="N185" i="26"/>
  <c r="M185" i="26"/>
  <c r="L185" i="26"/>
  <c r="K185" i="26"/>
  <c r="Q180" i="26"/>
  <c r="Q172" i="26"/>
  <c r="Q175" i="26" s="1"/>
  <c r="O172" i="26"/>
  <c r="O175" i="26" s="1"/>
  <c r="T169" i="26"/>
  <c r="S169" i="26"/>
  <c r="R169" i="26"/>
  <c r="Q169" i="26"/>
  <c r="P169" i="26"/>
  <c r="O169" i="26"/>
  <c r="N169" i="26"/>
  <c r="M169" i="26"/>
  <c r="L169" i="26"/>
  <c r="K169" i="26"/>
  <c r="M166" i="26"/>
  <c r="T165" i="26"/>
  <c r="S165" i="26"/>
  <c r="S177" i="26" s="1"/>
  <c r="S180" i="26" s="1"/>
  <c r="R165" i="26"/>
  <c r="R166" i="26" s="1"/>
  <c r="Q165" i="26"/>
  <c r="Q177" i="26" s="1"/>
  <c r="P165" i="26"/>
  <c r="O165" i="26"/>
  <c r="O166" i="26" s="1"/>
  <c r="N165" i="26"/>
  <c r="N172" i="26" s="1"/>
  <c r="N175" i="26" s="1"/>
  <c r="M165" i="26"/>
  <c r="M172" i="26" s="1"/>
  <c r="M175" i="26" s="1"/>
  <c r="L165" i="26"/>
  <c r="K165" i="26"/>
  <c r="K166" i="26" s="1"/>
  <c r="T163" i="26"/>
  <c r="T162" i="26" s="1"/>
  <c r="S163" i="26"/>
  <c r="S162" i="26" s="1"/>
  <c r="R163" i="26"/>
  <c r="R162" i="26" s="1"/>
  <c r="Q163" i="26"/>
  <c r="P163" i="26"/>
  <c r="O163" i="26"/>
  <c r="N163" i="26"/>
  <c r="N162" i="26" s="1"/>
  <c r="M163" i="26"/>
  <c r="M162" i="26" s="1"/>
  <c r="L163" i="26"/>
  <c r="L162" i="26" s="1"/>
  <c r="K163" i="26"/>
  <c r="Q162" i="26"/>
  <c r="P162" i="26"/>
  <c r="O162" i="26"/>
  <c r="K162" i="26"/>
  <c r="T161" i="26"/>
  <c r="S161" i="26"/>
  <c r="R161" i="26"/>
  <c r="Q161" i="26"/>
  <c r="P161" i="26"/>
  <c r="O161" i="26"/>
  <c r="N161" i="26"/>
  <c r="M161" i="26"/>
  <c r="L161" i="26"/>
  <c r="K161" i="26"/>
  <c r="T160" i="26"/>
  <c r="T190" i="26" s="1"/>
  <c r="S160" i="26"/>
  <c r="S190" i="26" s="1"/>
  <c r="R160" i="26"/>
  <c r="Q160" i="26"/>
  <c r="P160" i="26"/>
  <c r="P190" i="26" s="1"/>
  <c r="O160" i="26"/>
  <c r="O190" i="26" s="1"/>
  <c r="N160" i="26"/>
  <c r="N190" i="26" s="1"/>
  <c r="M160" i="26"/>
  <c r="M190" i="26" s="1"/>
  <c r="L160" i="26"/>
  <c r="L190" i="26" s="1"/>
  <c r="K160" i="26"/>
  <c r="K190" i="26" s="1"/>
  <c r="T146" i="26"/>
  <c r="S146" i="26"/>
  <c r="R146" i="26"/>
  <c r="Q146" i="26"/>
  <c r="P146" i="26"/>
  <c r="O146" i="26"/>
  <c r="N146" i="26"/>
  <c r="M146" i="26"/>
  <c r="L146" i="26"/>
  <c r="K146" i="26"/>
  <c r="R141" i="26"/>
  <c r="K140" i="26"/>
  <c r="K141" i="26" s="1"/>
  <c r="R137" i="26"/>
  <c r="R140" i="26" s="1"/>
  <c r="Q137" i="26"/>
  <c r="Q113" i="26" s="1"/>
  <c r="P137" i="26"/>
  <c r="T123" i="26"/>
  <c r="Q123" i="26"/>
  <c r="P123" i="26"/>
  <c r="N123" i="26"/>
  <c r="R113" i="26"/>
  <c r="R69" i="26" s="1"/>
  <c r="T108" i="26"/>
  <c r="S108" i="26"/>
  <c r="R108" i="26"/>
  <c r="Q108" i="26"/>
  <c r="P108" i="26"/>
  <c r="O108" i="26"/>
  <c r="N108" i="26"/>
  <c r="M108" i="26"/>
  <c r="L108" i="26"/>
  <c r="K108" i="26"/>
  <c r="T91" i="26"/>
  <c r="S91" i="26"/>
  <c r="R91" i="26"/>
  <c r="Q91" i="26"/>
  <c r="P91" i="26"/>
  <c r="O91" i="26"/>
  <c r="N91" i="26"/>
  <c r="M91" i="26"/>
  <c r="L91" i="26"/>
  <c r="K91" i="26"/>
  <c r="T85" i="26"/>
  <c r="S85" i="26"/>
  <c r="R85" i="26"/>
  <c r="Q85" i="26"/>
  <c r="P85" i="26"/>
  <c r="O85" i="26"/>
  <c r="N85" i="26"/>
  <c r="M85" i="26"/>
  <c r="L85" i="26"/>
  <c r="K85" i="26"/>
  <c r="T84" i="26"/>
  <c r="S84" i="26"/>
  <c r="R84" i="26"/>
  <c r="Q84" i="26"/>
  <c r="P84" i="26"/>
  <c r="O84" i="26"/>
  <c r="N84" i="26"/>
  <c r="M84" i="26"/>
  <c r="L84" i="26"/>
  <c r="K84" i="26"/>
  <c r="T82" i="26"/>
  <c r="S82" i="26"/>
  <c r="R82" i="26"/>
  <c r="Q82" i="26"/>
  <c r="P82" i="26"/>
  <c r="O82" i="26"/>
  <c r="N82" i="26"/>
  <c r="M82" i="26"/>
  <c r="L82" i="26"/>
  <c r="K82" i="26"/>
  <c r="S79" i="26"/>
  <c r="S81" i="26" s="1"/>
  <c r="S80" i="26" s="1"/>
  <c r="R79" i="26"/>
  <c r="R88" i="26" s="1"/>
  <c r="K69" i="26"/>
  <c r="T57" i="26"/>
  <c r="S57" i="26"/>
  <c r="R57" i="26"/>
  <c r="Q57" i="26"/>
  <c r="P57" i="26"/>
  <c r="O57" i="26"/>
  <c r="N57" i="26"/>
  <c r="M57" i="26"/>
  <c r="L57" i="26"/>
  <c r="K57" i="26"/>
  <c r="T51" i="26"/>
  <c r="S51" i="26"/>
  <c r="R51" i="26"/>
  <c r="Q51" i="26"/>
  <c r="P51" i="26"/>
  <c r="O51" i="26"/>
  <c r="N51" i="26"/>
  <c r="M51" i="26"/>
  <c r="L51" i="26"/>
  <c r="K51" i="26"/>
  <c r="T50" i="26"/>
  <c r="T54" i="26" s="1"/>
  <c r="S50" i="26"/>
  <c r="S54" i="26" s="1"/>
  <c r="R50" i="26"/>
  <c r="Q50" i="26"/>
  <c r="P50" i="26"/>
  <c r="P54" i="26" s="1"/>
  <c r="O50" i="26"/>
  <c r="O54" i="26" s="1"/>
  <c r="N50" i="26"/>
  <c r="N54" i="26" s="1"/>
  <c r="M50" i="26"/>
  <c r="L50" i="26"/>
  <c r="L54" i="26" s="1"/>
  <c r="L53" i="26" s="1"/>
  <c r="K50" i="26"/>
  <c r="K54" i="26" s="1"/>
  <c r="T48" i="26"/>
  <c r="S48" i="26"/>
  <c r="R48" i="26"/>
  <c r="Q48" i="26"/>
  <c r="Q46" i="26" s="1"/>
  <c r="P48" i="26"/>
  <c r="O48" i="26"/>
  <c r="N48" i="26"/>
  <c r="M48" i="26"/>
  <c r="L48" i="26"/>
  <c r="K48" i="26"/>
  <c r="T46" i="26"/>
  <c r="R46" i="26"/>
  <c r="P46" i="26"/>
  <c r="N46" i="26"/>
  <c r="M46" i="26"/>
  <c r="L46" i="26"/>
  <c r="O27" i="26"/>
  <c r="N26" i="26"/>
  <c r="T23" i="26"/>
  <c r="T79" i="26" s="1"/>
  <c r="S23" i="26"/>
  <c r="R23" i="26"/>
  <c r="Q23" i="26"/>
  <c r="P23" i="26"/>
  <c r="P79" i="26" s="1"/>
  <c r="O23" i="26"/>
  <c r="N23" i="26"/>
  <c r="N79" i="26" s="1"/>
  <c r="M23" i="26"/>
  <c r="L23" i="26"/>
  <c r="L79" i="26" s="1"/>
  <c r="K23" i="26"/>
  <c r="K79" i="26" s="1"/>
  <c r="S22" i="26"/>
  <c r="S27" i="26" s="1"/>
  <c r="R22" i="26"/>
  <c r="R27" i="26" s="1"/>
  <c r="P22" i="26"/>
  <c r="P27" i="26" s="1"/>
  <c r="O22" i="26"/>
  <c r="N22" i="26"/>
  <c r="N27" i="26" s="1"/>
  <c r="L22" i="26"/>
  <c r="L27" i="26" s="1"/>
  <c r="O8" i="26"/>
  <c r="K8" i="26"/>
  <c r="T6" i="26"/>
  <c r="T8" i="26" s="1"/>
  <c r="S6" i="26"/>
  <c r="S8" i="26" s="1"/>
  <c r="R6" i="26"/>
  <c r="R8" i="26" s="1"/>
  <c r="Q6" i="26"/>
  <c r="Q8" i="26" s="1"/>
  <c r="P6" i="26"/>
  <c r="P8" i="26" s="1"/>
  <c r="O6" i="26"/>
  <c r="N6" i="26"/>
  <c r="N8" i="26" s="1"/>
  <c r="M6" i="26"/>
  <c r="M8" i="26" s="1"/>
  <c r="L6" i="26"/>
  <c r="L8" i="26" s="1"/>
  <c r="K6" i="26"/>
  <c r="I177" i="26"/>
  <c r="I180" i="26" s="1"/>
  <c r="I188" i="26"/>
  <c r="I187" i="26"/>
  <c r="I137" i="26" s="1"/>
  <c r="I113" i="26" s="1"/>
  <c r="I185" i="26"/>
  <c r="I169" i="26"/>
  <c r="I165" i="26"/>
  <c r="I166" i="26" s="1"/>
  <c r="I163" i="26"/>
  <c r="I162" i="26" s="1"/>
  <c r="I161" i="26"/>
  <c r="I160" i="26"/>
  <c r="I190" i="26" s="1"/>
  <c r="I146" i="26"/>
  <c r="I123" i="26"/>
  <c r="I108" i="26"/>
  <c r="I91" i="26"/>
  <c r="I85" i="26"/>
  <c r="I84" i="26"/>
  <c r="I82" i="26"/>
  <c r="I57" i="26"/>
  <c r="I54" i="26"/>
  <c r="I144" i="26" s="1"/>
  <c r="I53" i="26"/>
  <c r="I51" i="26"/>
  <c r="I50" i="26"/>
  <c r="I48" i="26"/>
  <c r="I46" i="26"/>
  <c r="I23" i="26"/>
  <c r="I79" i="26" s="1"/>
  <c r="I22" i="26"/>
  <c r="I8" i="26"/>
  <c r="I6" i="26"/>
  <c r="N140" i="26" l="1"/>
  <c r="N141" i="26" s="1"/>
  <c r="N113" i="26"/>
  <c r="N69" i="26" s="1"/>
  <c r="N40" i="26" s="1"/>
  <c r="R87" i="26"/>
  <c r="R145" i="26"/>
  <c r="N177" i="26"/>
  <c r="N180" i="26" s="1"/>
  <c r="I27" i="26"/>
  <c r="R26" i="26"/>
  <c r="R78" i="26"/>
  <c r="L137" i="26"/>
  <c r="L113" i="26" s="1"/>
  <c r="N166" i="26"/>
  <c r="O177" i="26"/>
  <c r="O180" i="26" s="1"/>
  <c r="I172" i="26"/>
  <c r="I175" i="26" s="1"/>
  <c r="O26" i="26"/>
  <c r="S26" i="26"/>
  <c r="K172" i="26"/>
  <c r="K175" i="26" s="1"/>
  <c r="R172" i="26"/>
  <c r="R175" i="26" s="1"/>
  <c r="K177" i="26"/>
  <c r="K180" i="26" s="1"/>
  <c r="R177" i="26"/>
  <c r="R180" i="26" s="1"/>
  <c r="S209" i="26"/>
  <c r="I26" i="26"/>
  <c r="K22" i="26"/>
  <c r="K27" i="26" s="1"/>
  <c r="R54" i="26"/>
  <c r="O79" i="26"/>
  <c r="O81" i="26" s="1"/>
  <c r="O80" i="26" s="1"/>
  <c r="S172" i="26"/>
  <c r="S175" i="26" s="1"/>
  <c r="M177" i="26"/>
  <c r="M180" i="26" s="1"/>
  <c r="L209" i="26"/>
  <c r="L81" i="26"/>
  <c r="L80" i="26" s="1"/>
  <c r="L78" i="26"/>
  <c r="L88" i="26"/>
  <c r="R40" i="26"/>
  <c r="P144" i="26"/>
  <c r="P53" i="26"/>
  <c r="T144" i="26"/>
  <c r="T130" i="26"/>
  <c r="T53" i="26"/>
  <c r="K88" i="26"/>
  <c r="K130" i="26" s="1"/>
  <c r="K78" i="26"/>
  <c r="K81" i="26"/>
  <c r="K80" i="26" s="1"/>
  <c r="R144" i="26"/>
  <c r="R130" i="26"/>
  <c r="N209" i="26"/>
  <c r="N88" i="26"/>
  <c r="N78" i="26"/>
  <c r="N81" i="26"/>
  <c r="N80" i="26" s="1"/>
  <c r="P209" i="26"/>
  <c r="P88" i="26"/>
  <c r="P78" i="26"/>
  <c r="P81" i="26"/>
  <c r="P80" i="26" s="1"/>
  <c r="T88" i="26"/>
  <c r="T78" i="26"/>
  <c r="P26" i="26"/>
  <c r="R53" i="26"/>
  <c r="N144" i="26"/>
  <c r="N130" i="26"/>
  <c r="S53" i="26"/>
  <c r="P140" i="26"/>
  <c r="P141" i="26" s="1"/>
  <c r="P113" i="26"/>
  <c r="S144" i="26"/>
  <c r="T209" i="26"/>
  <c r="M79" i="26"/>
  <c r="M22" i="26"/>
  <c r="M27" i="26" s="1"/>
  <c r="Q79" i="26"/>
  <c r="Q22" i="26"/>
  <c r="Q27" i="26" s="1"/>
  <c r="L26" i="26"/>
  <c r="Q26" i="26"/>
  <c r="K46" i="26"/>
  <c r="O46" i="26"/>
  <c r="S46" i="26"/>
  <c r="M54" i="26"/>
  <c r="Q54" i="26"/>
  <c r="N53" i="26"/>
  <c r="O144" i="26"/>
  <c r="O53" i="26"/>
  <c r="R209" i="26"/>
  <c r="R81" i="26"/>
  <c r="R80" i="26" s="1"/>
  <c r="R136" i="26"/>
  <c r="K209" i="26"/>
  <c r="T22" i="26"/>
  <c r="T40" i="26"/>
  <c r="K144" i="26"/>
  <c r="K53" i="26"/>
  <c r="K40" i="26"/>
  <c r="S88" i="26"/>
  <c r="S78" i="26"/>
  <c r="T81" i="26"/>
  <c r="T80" i="26" s="1"/>
  <c r="L69" i="26"/>
  <c r="T140" i="26"/>
  <c r="T141" i="26" s="1"/>
  <c r="L144" i="26"/>
  <c r="O137" i="26"/>
  <c r="O113" i="26" s="1"/>
  <c r="S137" i="26"/>
  <c r="S113" i="26" s="1"/>
  <c r="M123" i="26"/>
  <c r="O88" i="26"/>
  <c r="L177" i="26"/>
  <c r="L180" i="26" s="1"/>
  <c r="L172" i="26"/>
  <c r="L175" i="26" s="1"/>
  <c r="L166" i="26"/>
  <c r="P177" i="26"/>
  <c r="P180" i="26" s="1"/>
  <c r="P172" i="26"/>
  <c r="P175" i="26" s="1"/>
  <c r="P166" i="26"/>
  <c r="T177" i="26"/>
  <c r="T180" i="26" s="1"/>
  <c r="T172" i="26"/>
  <c r="T175" i="26" s="1"/>
  <c r="T166" i="26"/>
  <c r="K26" i="26"/>
  <c r="Q69" i="26"/>
  <c r="Q166" i="26"/>
  <c r="M140" i="26"/>
  <c r="M141" i="26" s="1"/>
  <c r="S166" i="26"/>
  <c r="I140" i="26"/>
  <c r="I141" i="26" s="1"/>
  <c r="I209" i="26"/>
  <c r="I88" i="26"/>
  <c r="I78" i="26"/>
  <c r="I81" i="26"/>
  <c r="I80" i="26" s="1"/>
  <c r="I69" i="26"/>
  <c r="O78" i="26" l="1"/>
  <c r="O209" i="26"/>
  <c r="L140" i="26"/>
  <c r="L141" i="26" s="1"/>
  <c r="O69" i="26"/>
  <c r="K131" i="26"/>
  <c r="K121" i="26"/>
  <c r="K124" i="26"/>
  <c r="S145" i="26"/>
  <c r="S87" i="26"/>
  <c r="S136" i="26"/>
  <c r="P69" i="26"/>
  <c r="N131" i="26"/>
  <c r="N121" i="26"/>
  <c r="N124" i="26"/>
  <c r="P145" i="26"/>
  <c r="P87" i="26"/>
  <c r="P136" i="26"/>
  <c r="N145" i="26"/>
  <c r="N87" i="26"/>
  <c r="N136" i="26"/>
  <c r="R131" i="26"/>
  <c r="R121" i="26"/>
  <c r="R124" i="26"/>
  <c r="O145" i="26"/>
  <c r="O87" i="26"/>
  <c r="O136" i="26"/>
  <c r="O130" i="26"/>
  <c r="S69" i="26"/>
  <c r="L40" i="26"/>
  <c r="M81" i="26"/>
  <c r="M80" i="26" s="1"/>
  <c r="M209" i="26"/>
  <c r="M88" i="26"/>
  <c r="M130" i="26" s="1"/>
  <c r="M78" i="26"/>
  <c r="K136" i="26"/>
  <c r="K145" i="26"/>
  <c r="K87" i="26"/>
  <c r="T131" i="26"/>
  <c r="T124" i="26"/>
  <c r="T121" i="26"/>
  <c r="L145" i="26"/>
  <c r="L87" i="26"/>
  <c r="M136" i="26"/>
  <c r="S140" i="26"/>
  <c r="S141" i="26" s="1"/>
  <c r="M26" i="26"/>
  <c r="R138" i="26"/>
  <c r="R139" i="26" s="1"/>
  <c r="R74" i="26"/>
  <c r="Q144" i="26"/>
  <c r="Q53" i="26"/>
  <c r="L130" i="26"/>
  <c r="Q40" i="26"/>
  <c r="O140" i="26"/>
  <c r="O141" i="26" s="1"/>
  <c r="T27" i="26"/>
  <c r="T26" i="26"/>
  <c r="L136" i="26"/>
  <c r="M53" i="26"/>
  <c r="M144" i="26"/>
  <c r="Q209" i="26"/>
  <c r="Q81" i="26"/>
  <c r="Q80" i="26" s="1"/>
  <c r="Q78" i="26"/>
  <c r="Q88" i="26"/>
  <c r="S130" i="26"/>
  <c r="T145" i="26"/>
  <c r="T87" i="26"/>
  <c r="T136" i="26"/>
  <c r="P130" i="26"/>
  <c r="I145" i="26"/>
  <c r="I87" i="26"/>
  <c r="I130" i="26"/>
  <c r="I40" i="26"/>
  <c r="I136" i="26"/>
  <c r="U136" i="26"/>
  <c r="E109" i="26"/>
  <c r="R125" i="26" l="1"/>
  <c r="K125" i="26"/>
  <c r="K134" i="26" s="1"/>
  <c r="Q87" i="26"/>
  <c r="Q145" i="26"/>
  <c r="Q136" i="26"/>
  <c r="M121" i="26"/>
  <c r="M131" i="26"/>
  <c r="M124" i="26"/>
  <c r="M125" i="26" s="1"/>
  <c r="S40" i="26"/>
  <c r="S77" i="26"/>
  <c r="R127" i="26"/>
  <c r="R126" i="26"/>
  <c r="P138" i="26"/>
  <c r="P139" i="26" s="1"/>
  <c r="P74" i="26"/>
  <c r="P109" i="26" s="1"/>
  <c r="O40" i="26"/>
  <c r="L138" i="26"/>
  <c r="L139" i="26" s="1"/>
  <c r="L74" i="26"/>
  <c r="T125" i="26"/>
  <c r="K74" i="26"/>
  <c r="K138" i="26"/>
  <c r="K139" i="26" s="1"/>
  <c r="N138" i="26"/>
  <c r="N139" i="26" s="1"/>
  <c r="N74" i="26"/>
  <c r="N127" i="26"/>
  <c r="N126" i="26"/>
  <c r="K132" i="26"/>
  <c r="K133" i="26" s="1"/>
  <c r="P124" i="26"/>
  <c r="P131" i="26"/>
  <c r="P121" i="26"/>
  <c r="Q130" i="26"/>
  <c r="T126" i="26"/>
  <c r="T127" i="26"/>
  <c r="T128" i="26" s="1"/>
  <c r="T41" i="26" s="1"/>
  <c r="O131" i="26"/>
  <c r="O124" i="26"/>
  <c r="O121" i="26"/>
  <c r="R132" i="26"/>
  <c r="R133" i="26" s="1"/>
  <c r="R134" i="26"/>
  <c r="P77" i="26"/>
  <c r="P40" i="26"/>
  <c r="S138" i="26"/>
  <c r="S139" i="26" s="1"/>
  <c r="S74" i="26"/>
  <c r="S109" i="26" s="1"/>
  <c r="T74" i="26"/>
  <c r="T138" i="26"/>
  <c r="T139" i="26" s="1"/>
  <c r="S131" i="26"/>
  <c r="S121" i="26"/>
  <c r="S124" i="26"/>
  <c r="S125" i="26" s="1"/>
  <c r="L121" i="26"/>
  <c r="L131" i="26"/>
  <c r="L124" i="26"/>
  <c r="R109" i="26"/>
  <c r="R77" i="26"/>
  <c r="M74" i="26"/>
  <c r="M138" i="26"/>
  <c r="M139" i="26" s="1"/>
  <c r="M87" i="26"/>
  <c r="M145" i="26"/>
  <c r="O74" i="26"/>
  <c r="O109" i="26" s="1"/>
  <c r="O138" i="26"/>
  <c r="O139" i="26" s="1"/>
  <c r="N125" i="26"/>
  <c r="K127" i="26"/>
  <c r="K126" i="26"/>
  <c r="I121" i="26"/>
  <c r="I124" i="26"/>
  <c r="I131" i="26"/>
  <c r="I138" i="26"/>
  <c r="I139" i="26" s="1"/>
  <c r="I74" i="26"/>
  <c r="H188" i="26"/>
  <c r="H123" i="26" s="1"/>
  <c r="G188" i="26"/>
  <c r="G123" i="26" s="1"/>
  <c r="F188" i="26"/>
  <c r="F123" i="26" s="1"/>
  <c r="E188" i="26"/>
  <c r="E123" i="26" s="1"/>
  <c r="H187" i="26"/>
  <c r="H137" i="26" s="1"/>
  <c r="G187" i="26"/>
  <c r="G137" i="26" s="1"/>
  <c r="F187" i="26"/>
  <c r="F137" i="26" s="1"/>
  <c r="E187" i="26"/>
  <c r="E186" i="26"/>
  <c r="H185" i="26"/>
  <c r="G185" i="26"/>
  <c r="F185" i="26"/>
  <c r="E179" i="26"/>
  <c r="E174" i="26"/>
  <c r="H168" i="26"/>
  <c r="H169" i="26" s="1"/>
  <c r="G168" i="26"/>
  <c r="G169" i="26" s="1"/>
  <c r="F168" i="26"/>
  <c r="F169" i="26" s="1"/>
  <c r="E168" i="26"/>
  <c r="E170" i="26" s="1"/>
  <c r="H165" i="26"/>
  <c r="H166" i="26" s="1"/>
  <c r="G165" i="26"/>
  <c r="G166" i="26" s="1"/>
  <c r="F165" i="26"/>
  <c r="F166" i="26" s="1"/>
  <c r="E165" i="26"/>
  <c r="E167" i="26" s="1"/>
  <c r="H163" i="26"/>
  <c r="H162" i="26" s="1"/>
  <c r="G163" i="26"/>
  <c r="G162" i="26" s="1"/>
  <c r="F163" i="26"/>
  <c r="F162" i="26" s="1"/>
  <c r="E163" i="26"/>
  <c r="E164" i="26" s="1"/>
  <c r="H161" i="26"/>
  <c r="G161" i="26"/>
  <c r="F161" i="26"/>
  <c r="E161" i="26"/>
  <c r="H160" i="26"/>
  <c r="H190" i="26" s="1"/>
  <c r="G160" i="26"/>
  <c r="G190" i="26" s="1"/>
  <c r="F160" i="26"/>
  <c r="F190" i="26" s="1"/>
  <c r="E160" i="26"/>
  <c r="E190" i="26" s="1"/>
  <c r="H146" i="26"/>
  <c r="G146" i="26"/>
  <c r="F146" i="26"/>
  <c r="E146" i="26"/>
  <c r="E137" i="26"/>
  <c r="E129" i="26"/>
  <c r="E116" i="26" s="1"/>
  <c r="E119" i="26" s="1"/>
  <c r="H108" i="26"/>
  <c r="G108" i="26"/>
  <c r="F108" i="26"/>
  <c r="E108" i="26"/>
  <c r="E106" i="26"/>
  <c r="E105" i="26"/>
  <c r="H91" i="26"/>
  <c r="G91" i="26"/>
  <c r="F91" i="26"/>
  <c r="E91" i="26"/>
  <c r="H85" i="26"/>
  <c r="G85" i="26"/>
  <c r="F85" i="26"/>
  <c r="E85" i="26"/>
  <c r="H84" i="26"/>
  <c r="G84" i="26"/>
  <c r="F84" i="26"/>
  <c r="E84" i="26"/>
  <c r="H82" i="26"/>
  <c r="G82" i="26"/>
  <c r="F82" i="26"/>
  <c r="E82" i="26"/>
  <c r="E79" i="26" s="1"/>
  <c r="E77" i="26"/>
  <c r="E73" i="26"/>
  <c r="H57" i="26"/>
  <c r="G57" i="26"/>
  <c r="F57" i="26"/>
  <c r="E57" i="26"/>
  <c r="H51" i="26"/>
  <c r="G51" i="26"/>
  <c r="F51" i="26"/>
  <c r="E51" i="26"/>
  <c r="H50" i="26"/>
  <c r="G50" i="26"/>
  <c r="F50" i="26"/>
  <c r="E50" i="26"/>
  <c r="H48" i="26"/>
  <c r="H46" i="26" s="1"/>
  <c r="G48" i="26"/>
  <c r="G46" i="26" s="1"/>
  <c r="F48" i="26"/>
  <c r="E48" i="26"/>
  <c r="E46" i="26" s="1"/>
  <c r="E44" i="26"/>
  <c r="E45" i="26" s="1"/>
  <c r="H23" i="26"/>
  <c r="H22" i="26" s="1"/>
  <c r="G23" i="26"/>
  <c r="F23" i="26"/>
  <c r="F22" i="26" s="1"/>
  <c r="E23" i="26"/>
  <c r="H6" i="26"/>
  <c r="H8" i="26" s="1"/>
  <c r="G6" i="26"/>
  <c r="G8" i="26" s="1"/>
  <c r="F6" i="26"/>
  <c r="F8" i="26" s="1"/>
  <c r="E6" i="26"/>
  <c r="E8" i="26" s="1"/>
  <c r="I125" i="26" l="1"/>
  <c r="I134" i="26" s="1"/>
  <c r="M109" i="26"/>
  <c r="M77" i="26"/>
  <c r="L127" i="26"/>
  <c r="L126" i="26"/>
  <c r="S127" i="26"/>
  <c r="S126" i="26"/>
  <c r="Q121" i="26"/>
  <c r="Q131" i="26"/>
  <c r="Q124" i="26"/>
  <c r="Q125" i="26" s="1"/>
  <c r="N109" i="26"/>
  <c r="N77" i="26"/>
  <c r="T132" i="26"/>
  <c r="T133" i="26" s="1"/>
  <c r="T134" i="26"/>
  <c r="L109" i="26"/>
  <c r="L77" i="26"/>
  <c r="M134" i="26"/>
  <c r="M132" i="26"/>
  <c r="M133" i="26" s="1"/>
  <c r="K128" i="26"/>
  <c r="K41" i="26" s="1"/>
  <c r="O125" i="26"/>
  <c r="O77" i="26"/>
  <c r="M126" i="26"/>
  <c r="M127" i="26"/>
  <c r="N132" i="26"/>
  <c r="N133" i="26" s="1"/>
  <c r="N134" i="26"/>
  <c r="S132" i="26"/>
  <c r="S133" i="26" s="1"/>
  <c r="S134" i="26"/>
  <c r="T109" i="26"/>
  <c r="T77" i="26"/>
  <c r="O127" i="26"/>
  <c r="O128" i="26" s="1"/>
  <c r="O41" i="26" s="1"/>
  <c r="O126" i="26"/>
  <c r="T73" i="26"/>
  <c r="T129" i="26"/>
  <c r="T116" i="26" s="1"/>
  <c r="T44" i="26"/>
  <c r="T64" i="26"/>
  <c r="P126" i="26"/>
  <c r="P127" i="26"/>
  <c r="R128" i="26"/>
  <c r="R41" i="26" s="1"/>
  <c r="L125" i="26"/>
  <c r="P125" i="26"/>
  <c r="N128" i="26"/>
  <c r="N41" i="26" s="1"/>
  <c r="K109" i="26"/>
  <c r="K77" i="26"/>
  <c r="Q74" i="26"/>
  <c r="Q138" i="26"/>
  <c r="Q139" i="26" s="1"/>
  <c r="I126" i="26"/>
  <c r="I127" i="26"/>
  <c r="I109" i="26"/>
  <c r="I77" i="26"/>
  <c r="E81" i="26"/>
  <c r="H27" i="26"/>
  <c r="F27" i="26"/>
  <c r="G140" i="26"/>
  <c r="G141" i="26" s="1"/>
  <c r="G113" i="26"/>
  <c r="G69" i="26" s="1"/>
  <c r="E22" i="26"/>
  <c r="E26" i="26" s="1"/>
  <c r="H140" i="26"/>
  <c r="H141" i="26" s="1"/>
  <c r="H113" i="26"/>
  <c r="H69" i="26" s="1"/>
  <c r="H40" i="26" s="1"/>
  <c r="H172" i="26" s="1"/>
  <c r="H79" i="26"/>
  <c r="H81" i="26" s="1"/>
  <c r="H80" i="26" s="1"/>
  <c r="H26" i="26"/>
  <c r="E122" i="26"/>
  <c r="E54" i="26"/>
  <c r="E144" i="26" s="1"/>
  <c r="E65" i="26"/>
  <c r="E66" i="26" s="1"/>
  <c r="H54" i="26"/>
  <c r="H53" i="26" s="1"/>
  <c r="E140" i="26"/>
  <c r="E141" i="26" s="1"/>
  <c r="E76" i="26"/>
  <c r="E70" i="26"/>
  <c r="F113" i="26"/>
  <c r="F140" i="26"/>
  <c r="F141" i="26" s="1"/>
  <c r="F54" i="26"/>
  <c r="F79" i="26"/>
  <c r="F26" i="26"/>
  <c r="E58" i="26"/>
  <c r="E64" i="26"/>
  <c r="G79" i="26"/>
  <c r="G22" i="26"/>
  <c r="G27" i="26" s="1"/>
  <c r="F46" i="26"/>
  <c r="G54" i="26"/>
  <c r="E118" i="26"/>
  <c r="E209" i="26"/>
  <c r="E88" i="26"/>
  <c r="E136" i="26" s="1"/>
  <c r="E138" i="26" s="1"/>
  <c r="E139" i="26" s="1"/>
  <c r="M128" i="26" l="1"/>
  <c r="M41" i="26" s="1"/>
  <c r="P128" i="26"/>
  <c r="P41" i="26" s="1"/>
  <c r="P44" i="26" s="1"/>
  <c r="I132" i="26"/>
  <c r="I133" i="26" s="1"/>
  <c r="R129" i="26"/>
  <c r="R116" i="26" s="1"/>
  <c r="R73" i="26"/>
  <c r="R44" i="26"/>
  <c r="R64" i="26"/>
  <c r="T65" i="26"/>
  <c r="T66" i="26" s="1"/>
  <c r="T45" i="26"/>
  <c r="O129" i="26"/>
  <c r="O116" i="26" s="1"/>
  <c r="O44" i="26"/>
  <c r="O73" i="26"/>
  <c r="O132" i="26"/>
  <c r="O133" i="26" s="1"/>
  <c r="O134" i="26"/>
  <c r="O64" i="26"/>
  <c r="N73" i="26"/>
  <c r="N44" i="26"/>
  <c r="N129" i="26"/>
  <c r="N116" i="26" s="1"/>
  <c r="N64" i="26"/>
  <c r="P73" i="26"/>
  <c r="P129" i="26"/>
  <c r="P116" i="26" s="1"/>
  <c r="T118" i="26"/>
  <c r="T119" i="26"/>
  <c r="K129" i="26"/>
  <c r="K116" i="26" s="1"/>
  <c r="K44" i="26"/>
  <c r="K73" i="26"/>
  <c r="K64" i="26"/>
  <c r="Q134" i="26"/>
  <c r="Q132" i="26"/>
  <c r="Q133" i="26" s="1"/>
  <c r="S128" i="26"/>
  <c r="S41" i="26" s="1"/>
  <c r="Q109" i="26"/>
  <c r="Q77" i="26"/>
  <c r="P134" i="26"/>
  <c r="P132" i="26"/>
  <c r="P133" i="26" s="1"/>
  <c r="T70" i="26"/>
  <c r="T76" i="26"/>
  <c r="T92" i="26" s="1"/>
  <c r="M129" i="26"/>
  <c r="M116" i="26" s="1"/>
  <c r="M73" i="26"/>
  <c r="M44" i="26"/>
  <c r="M64" i="26"/>
  <c r="Q126" i="26"/>
  <c r="Q127" i="26"/>
  <c r="L132" i="26"/>
  <c r="L133" i="26" s="1"/>
  <c r="L134" i="26"/>
  <c r="L128" i="26"/>
  <c r="L41" i="26" s="1"/>
  <c r="I128" i="26"/>
  <c r="I41" i="26" s="1"/>
  <c r="I64" i="26" s="1"/>
  <c r="E92" i="26"/>
  <c r="E94" i="26" s="1"/>
  <c r="H88" i="26"/>
  <c r="H78" i="26"/>
  <c r="H209" i="26"/>
  <c r="E53" i="26"/>
  <c r="E27" i="26"/>
  <c r="H177" i="26"/>
  <c r="H144" i="26"/>
  <c r="G26" i="26"/>
  <c r="E107" i="26"/>
  <c r="E100" i="26"/>
  <c r="G144" i="26"/>
  <c r="G53" i="26"/>
  <c r="G209" i="26"/>
  <c r="G81" i="26"/>
  <c r="G80" i="26" s="1"/>
  <c r="G78" i="26"/>
  <c r="G88" i="26"/>
  <c r="G136" i="26" s="1"/>
  <c r="E145" i="26"/>
  <c r="E87" i="26"/>
  <c r="G177" i="26"/>
  <c r="G40" i="26"/>
  <c r="E135" i="26"/>
  <c r="F209" i="26"/>
  <c r="F81" i="26"/>
  <c r="F80" i="26" s="1"/>
  <c r="F78" i="26"/>
  <c r="F88" i="26"/>
  <c r="F136" i="26" s="1"/>
  <c r="E130" i="26"/>
  <c r="F144" i="26"/>
  <c r="F53" i="26"/>
  <c r="F69" i="26"/>
  <c r="E61" i="26"/>
  <c r="E67" i="26"/>
  <c r="E62" i="26"/>
  <c r="E60" i="26"/>
  <c r="E59" i="26"/>
  <c r="E101" i="26"/>
  <c r="E102" i="26" s="1"/>
  <c r="P64" i="26" l="1"/>
  <c r="Q128" i="26"/>
  <c r="Q41" i="26" s="1"/>
  <c r="Q73" i="26" s="1"/>
  <c r="M76" i="26"/>
  <c r="M92" i="26" s="1"/>
  <c r="M70" i="26"/>
  <c r="T107" i="26"/>
  <c r="T100" i="26"/>
  <c r="P65" i="26"/>
  <c r="P66" i="26" s="1"/>
  <c r="P45" i="26"/>
  <c r="N45" i="26"/>
  <c r="N65" i="26"/>
  <c r="N66" i="26" s="1"/>
  <c r="T135" i="26"/>
  <c r="T58" i="26"/>
  <c r="R70" i="26"/>
  <c r="R76" i="26"/>
  <c r="R92" i="26" s="1"/>
  <c r="R101" i="26"/>
  <c r="R102" i="26" s="1"/>
  <c r="L129" i="26"/>
  <c r="L116" i="26" s="1"/>
  <c r="L73" i="26"/>
  <c r="L44" i="26"/>
  <c r="L64" i="26"/>
  <c r="M118" i="26"/>
  <c r="M119" i="26"/>
  <c r="S129" i="26"/>
  <c r="S116" i="26" s="1"/>
  <c r="S44" i="26"/>
  <c r="S73" i="26"/>
  <c r="S64" i="26"/>
  <c r="K70" i="26"/>
  <c r="K101" i="26" s="1"/>
  <c r="K102" i="26" s="1"/>
  <c r="K76" i="26"/>
  <c r="K92" i="26" s="1"/>
  <c r="P70" i="26"/>
  <c r="P101" i="26"/>
  <c r="P102" i="26" s="1"/>
  <c r="P76" i="26"/>
  <c r="P92" i="26" s="1"/>
  <c r="N70" i="26"/>
  <c r="N101" i="26" s="1"/>
  <c r="N102" i="26" s="1"/>
  <c r="N76" i="26"/>
  <c r="N92" i="26" s="1"/>
  <c r="O70" i="26"/>
  <c r="O76" i="26"/>
  <c r="O92" i="26" s="1"/>
  <c r="R119" i="26"/>
  <c r="R118" i="26"/>
  <c r="T101" i="26"/>
  <c r="T102" i="26" s="1"/>
  <c r="K65" i="26"/>
  <c r="K66" i="26" s="1"/>
  <c r="K45" i="26"/>
  <c r="O45" i="26"/>
  <c r="O65" i="26"/>
  <c r="O66" i="26" s="1"/>
  <c r="M65" i="26"/>
  <c r="M66" i="26" s="1"/>
  <c r="M45" i="26"/>
  <c r="T93" i="26"/>
  <c r="T103" i="26"/>
  <c r="T104" i="26" s="1"/>
  <c r="T95" i="26"/>
  <c r="T94" i="26"/>
  <c r="T97" i="26"/>
  <c r="T96" i="26"/>
  <c r="T98" i="26"/>
  <c r="K119" i="26"/>
  <c r="K118" i="26"/>
  <c r="P118" i="26"/>
  <c r="P119" i="26"/>
  <c r="N119" i="26"/>
  <c r="N118" i="26"/>
  <c r="O119" i="26"/>
  <c r="O118" i="26"/>
  <c r="R65" i="26"/>
  <c r="R66" i="26" s="1"/>
  <c r="R45" i="26"/>
  <c r="I129" i="26"/>
  <c r="I116" i="26" s="1"/>
  <c r="J44" i="26"/>
  <c r="I44" i="26"/>
  <c r="I65" i="26" s="1"/>
  <c r="I73" i="26"/>
  <c r="F138" i="26"/>
  <c r="F139" i="26" s="1"/>
  <c r="F74" i="26"/>
  <c r="F109" i="26" s="1"/>
  <c r="H136" i="26"/>
  <c r="G74" i="26"/>
  <c r="G138" i="26"/>
  <c r="G139" i="26" s="1"/>
  <c r="E97" i="26"/>
  <c r="E98" i="26"/>
  <c r="E103" i="26"/>
  <c r="E104" i="26" s="1"/>
  <c r="E96" i="26"/>
  <c r="E93" i="26"/>
  <c r="E204" i="26" s="1"/>
  <c r="E95" i="26"/>
  <c r="H145" i="26"/>
  <c r="H87" i="26"/>
  <c r="H130" i="26"/>
  <c r="H124" i="26" s="1"/>
  <c r="E151" i="26"/>
  <c r="E189" i="26" s="1"/>
  <c r="G145" i="26"/>
  <c r="G87" i="26"/>
  <c r="E200" i="26"/>
  <c r="E201" i="26"/>
  <c r="F177" i="26"/>
  <c r="F40" i="26"/>
  <c r="F145" i="26"/>
  <c r="F87" i="26"/>
  <c r="G172" i="26"/>
  <c r="E68" i="26"/>
  <c r="F130" i="26"/>
  <c r="E131" i="26"/>
  <c r="E121" i="26"/>
  <c r="E124" i="26"/>
  <c r="G130" i="26"/>
  <c r="Q64" i="26" l="1"/>
  <c r="Q44" i="26"/>
  <c r="Q65" i="26" s="1"/>
  <c r="Q66" i="26" s="1"/>
  <c r="Q129" i="26"/>
  <c r="Q116" i="26" s="1"/>
  <c r="R58" i="26"/>
  <c r="R135" i="26"/>
  <c r="T206" i="26"/>
  <c r="T204" i="26"/>
  <c r="T207" i="26"/>
  <c r="O135" i="26"/>
  <c r="O58" i="26"/>
  <c r="O107" i="26"/>
  <c r="O100" i="26"/>
  <c r="P103" i="26"/>
  <c r="P104" i="26" s="1"/>
  <c r="P95" i="26"/>
  <c r="P94" i="26"/>
  <c r="P97" i="26"/>
  <c r="P96" i="26"/>
  <c r="P93" i="26"/>
  <c r="P98" i="26"/>
  <c r="S65" i="26"/>
  <c r="S66" i="26" s="1"/>
  <c r="S45" i="26"/>
  <c r="M107" i="26"/>
  <c r="M100" i="26"/>
  <c r="Q118" i="26"/>
  <c r="Q119" i="26"/>
  <c r="M58" i="26"/>
  <c r="M135" i="26"/>
  <c r="K135" i="26"/>
  <c r="K58" i="26"/>
  <c r="K107" i="26"/>
  <c r="K100" i="26"/>
  <c r="S119" i="26"/>
  <c r="S118" i="26"/>
  <c r="L45" i="26"/>
  <c r="L65" i="26"/>
  <c r="L66" i="26" s="1"/>
  <c r="R98" i="26"/>
  <c r="R97" i="26"/>
  <c r="R94" i="26"/>
  <c r="R93" i="26"/>
  <c r="R96" i="26"/>
  <c r="R95" i="26"/>
  <c r="R103" i="26"/>
  <c r="R104" i="26" s="1"/>
  <c r="M97" i="26"/>
  <c r="M95" i="26"/>
  <c r="M93" i="26"/>
  <c r="M98" i="26"/>
  <c r="M96" i="26"/>
  <c r="M103" i="26"/>
  <c r="M104" i="26" s="1"/>
  <c r="M94" i="26"/>
  <c r="Q70" i="26"/>
  <c r="Q101" i="26" s="1"/>
  <c r="Q102" i="26" s="1"/>
  <c r="Q76" i="26"/>
  <c r="Q92" i="26" s="1"/>
  <c r="O101" i="26"/>
  <c r="O102" i="26" s="1"/>
  <c r="N103" i="26"/>
  <c r="N104" i="26" s="1"/>
  <c r="N94" i="26"/>
  <c r="N93" i="26"/>
  <c r="N98" i="26"/>
  <c r="N97" i="26"/>
  <c r="N96" i="26"/>
  <c r="N95" i="26"/>
  <c r="P107" i="26"/>
  <c r="P100" i="26"/>
  <c r="L70" i="26"/>
  <c r="L101" i="26" s="1"/>
  <c r="L102" i="26" s="1"/>
  <c r="L76" i="26"/>
  <c r="L92" i="26" s="1"/>
  <c r="R107" i="26"/>
  <c r="R100" i="26"/>
  <c r="N135" i="26"/>
  <c r="N58" i="26"/>
  <c r="O103" i="26"/>
  <c r="O104" i="26" s="1"/>
  <c r="O98" i="26"/>
  <c r="O96" i="26"/>
  <c r="O94" i="26"/>
  <c r="O93" i="26"/>
  <c r="O95" i="26"/>
  <c r="O97" i="26"/>
  <c r="N107" i="26"/>
  <c r="N100" i="26"/>
  <c r="K103" i="26"/>
  <c r="K104" i="26" s="1"/>
  <c r="K98" i="26"/>
  <c r="K96" i="26"/>
  <c r="K94" i="26"/>
  <c r="K95" i="26"/>
  <c r="K97" i="26"/>
  <c r="K93" i="26"/>
  <c r="S70" i="26"/>
  <c r="S101" i="26" s="1"/>
  <c r="S102" i="26" s="1"/>
  <c r="S76" i="26"/>
  <c r="S92" i="26" s="1"/>
  <c r="L118" i="26"/>
  <c r="L119" i="26"/>
  <c r="T151" i="26"/>
  <c r="T67" i="26"/>
  <c r="T62" i="26"/>
  <c r="T60" i="26"/>
  <c r="T59" i="26"/>
  <c r="T61" i="26"/>
  <c r="P135" i="26"/>
  <c r="P58" i="26"/>
  <c r="M101" i="26"/>
  <c r="M102" i="26" s="1"/>
  <c r="I70" i="26"/>
  <c r="I76" i="26"/>
  <c r="I92" i="26" s="1"/>
  <c r="I45" i="26"/>
  <c r="I66" i="26"/>
  <c r="I119" i="26"/>
  <c r="I118" i="26"/>
  <c r="F77" i="26"/>
  <c r="H138" i="26"/>
  <c r="H139" i="26" s="1"/>
  <c r="H74" i="26"/>
  <c r="G109" i="26"/>
  <c r="G77" i="26"/>
  <c r="E147" i="26"/>
  <c r="E152" i="26" s="1"/>
  <c r="E154" i="26" s="1"/>
  <c r="E156" i="26" s="1"/>
  <c r="E150" i="26"/>
  <c r="E207" i="26"/>
  <c r="E210" i="26" s="1"/>
  <c r="E206" i="26"/>
  <c r="E208" i="26" s="1"/>
  <c r="H131" i="26"/>
  <c r="H127" i="26" s="1"/>
  <c r="H121" i="26"/>
  <c r="H125" i="26" s="1"/>
  <c r="E125" i="26"/>
  <c r="E134" i="26" s="1"/>
  <c r="F172" i="26"/>
  <c r="E202" i="26"/>
  <c r="E4" i="26" s="1"/>
  <c r="E203" i="26"/>
  <c r="E205" i="26" s="1"/>
  <c r="F121" i="26"/>
  <c r="F131" i="26"/>
  <c r="F124" i="26"/>
  <c r="G131" i="26"/>
  <c r="G124" i="26"/>
  <c r="G121" i="26"/>
  <c r="E127" i="26"/>
  <c r="E126" i="26"/>
  <c r="I101" i="26" l="1"/>
  <c r="I102" i="26" s="1"/>
  <c r="I100" i="26"/>
  <c r="Q45" i="26"/>
  <c r="Q135" i="26"/>
  <c r="Q58" i="26"/>
  <c r="K207" i="26"/>
  <c r="K206" i="26"/>
  <c r="K204" i="26"/>
  <c r="N151" i="26"/>
  <c r="N61" i="26"/>
  <c r="N59" i="26"/>
  <c r="N67" i="26"/>
  <c r="N62" i="26"/>
  <c r="N60" i="26"/>
  <c r="M207" i="26"/>
  <c r="M206" i="26"/>
  <c r="M204" i="26"/>
  <c r="K151" i="26"/>
  <c r="K61" i="26"/>
  <c r="K59" i="26"/>
  <c r="K60" i="26"/>
  <c r="K67" i="26"/>
  <c r="K62" i="26"/>
  <c r="S135" i="26"/>
  <c r="S58" i="26"/>
  <c r="T150" i="26"/>
  <c r="T68" i="26"/>
  <c r="T147" i="26" s="1"/>
  <c r="L97" i="26"/>
  <c r="L96" i="26"/>
  <c r="L98" i="26"/>
  <c r="L95" i="26"/>
  <c r="L94" i="26"/>
  <c r="L103" i="26"/>
  <c r="L104" i="26" s="1"/>
  <c r="L93" i="26"/>
  <c r="N207" i="26"/>
  <c r="N204" i="26"/>
  <c r="N206" i="26"/>
  <c r="R151" i="26"/>
  <c r="R61" i="26"/>
  <c r="R59" i="26"/>
  <c r="R60" i="26"/>
  <c r="R67" i="26"/>
  <c r="R62" i="26"/>
  <c r="T200" i="26"/>
  <c r="T201" i="26"/>
  <c r="T208" i="26" s="1"/>
  <c r="S103" i="26"/>
  <c r="S104" i="26" s="1"/>
  <c r="S98" i="26"/>
  <c r="S96" i="26"/>
  <c r="S94" i="26"/>
  <c r="S93" i="26"/>
  <c r="S95" i="26"/>
  <c r="S97" i="26"/>
  <c r="L107" i="26"/>
  <c r="L100" i="26"/>
  <c r="Q97" i="26"/>
  <c r="Q95" i="26"/>
  <c r="Q93" i="26"/>
  <c r="Q96" i="26"/>
  <c r="Q98" i="26"/>
  <c r="Q103" i="26"/>
  <c r="Q104" i="26" s="1"/>
  <c r="Q94" i="26"/>
  <c r="R207" i="26"/>
  <c r="R206" i="26"/>
  <c r="R204" i="26"/>
  <c r="P151" i="26"/>
  <c r="P67" i="26"/>
  <c r="P62" i="26"/>
  <c r="P60" i="26"/>
  <c r="P61" i="26"/>
  <c r="P59" i="26"/>
  <c r="S107" i="26"/>
  <c r="S100" i="26"/>
  <c r="O206" i="26"/>
  <c r="O207" i="26"/>
  <c r="O204" i="26"/>
  <c r="Q107" i="26"/>
  <c r="Q100" i="26"/>
  <c r="L135" i="26"/>
  <c r="L58" i="26"/>
  <c r="M151" i="26"/>
  <c r="M67" i="26"/>
  <c r="M62" i="26"/>
  <c r="M60" i="26"/>
  <c r="M59" i="26"/>
  <c r="M61" i="26"/>
  <c r="P206" i="26"/>
  <c r="P204" i="26"/>
  <c r="P207" i="26"/>
  <c r="O61" i="26"/>
  <c r="O59" i="26"/>
  <c r="O67" i="26"/>
  <c r="O62" i="26"/>
  <c r="O60" i="26"/>
  <c r="O151" i="26"/>
  <c r="I58" i="26"/>
  <c r="I135" i="26"/>
  <c r="I95" i="26"/>
  <c r="I103" i="26"/>
  <c r="I104" i="26" s="1"/>
  <c r="I98" i="26"/>
  <c r="I93" i="26"/>
  <c r="I94" i="26"/>
  <c r="I97" i="26"/>
  <c r="I96" i="26"/>
  <c r="J73" i="26"/>
  <c r="I107" i="26"/>
  <c r="H109" i="26"/>
  <c r="H77" i="26"/>
  <c r="H134" i="26"/>
  <c r="E149" i="26"/>
  <c r="H132" i="26"/>
  <c r="H133" i="26" s="1"/>
  <c r="H126" i="26"/>
  <c r="H128" i="26" s="1"/>
  <c r="H41" i="26" s="1"/>
  <c r="E128" i="26"/>
  <c r="F125" i="26"/>
  <c r="G126" i="26"/>
  <c r="G127" i="26"/>
  <c r="E25" i="26"/>
  <c r="E9" i="26"/>
  <c r="E194" i="26"/>
  <c r="G125" i="26"/>
  <c r="G134" i="26" s="1"/>
  <c r="F127" i="26"/>
  <c r="F126" i="26"/>
  <c r="E132" i="26"/>
  <c r="E133" i="26" s="1"/>
  <c r="O150" i="26" l="1"/>
  <c r="O68" i="26"/>
  <c r="O147" i="26" s="1"/>
  <c r="L151" i="26"/>
  <c r="L67" i="26"/>
  <c r="L62" i="26"/>
  <c r="L60" i="26"/>
  <c r="L59" i="26"/>
  <c r="L61" i="26"/>
  <c r="M68" i="26"/>
  <c r="M147" i="26" s="1"/>
  <c r="M150" i="26"/>
  <c r="Q204" i="26"/>
  <c r="Q206" i="26"/>
  <c r="Q207" i="26"/>
  <c r="T152" i="26"/>
  <c r="T154" i="26" s="1"/>
  <c r="T155" i="26" s="1"/>
  <c r="T189" i="26" s="1"/>
  <c r="T149" i="26"/>
  <c r="N201" i="26"/>
  <c r="N208" i="26" s="1"/>
  <c r="N200" i="26"/>
  <c r="M200" i="26"/>
  <c r="M201" i="26"/>
  <c r="M208" i="26" s="1"/>
  <c r="R68" i="26"/>
  <c r="R147" i="26" s="1"/>
  <c r="R150" i="26"/>
  <c r="L206" i="26"/>
  <c r="L204" i="26"/>
  <c r="L207" i="26"/>
  <c r="K68" i="26"/>
  <c r="K147" i="26" s="1"/>
  <c r="K150" i="26"/>
  <c r="S61" i="26"/>
  <c r="S59" i="26"/>
  <c r="S151" i="26"/>
  <c r="S60" i="26"/>
  <c r="S67" i="26"/>
  <c r="S62" i="26"/>
  <c r="Q67" i="26"/>
  <c r="Q62" i="26"/>
  <c r="Q60" i="26"/>
  <c r="Q61" i="26"/>
  <c r="Q151" i="26"/>
  <c r="Q59" i="26"/>
  <c r="O200" i="26"/>
  <c r="O201" i="26"/>
  <c r="O208" i="26" s="1"/>
  <c r="P208" i="26"/>
  <c r="P200" i="26"/>
  <c r="P201" i="26"/>
  <c r="P150" i="26"/>
  <c r="P68" i="26"/>
  <c r="P147" i="26" s="1"/>
  <c r="S204" i="26"/>
  <c r="S207" i="26"/>
  <c r="S206" i="26"/>
  <c r="T202" i="26"/>
  <c r="T4" i="26" s="1"/>
  <c r="T203" i="26"/>
  <c r="T205" i="26" s="1"/>
  <c r="R201" i="26"/>
  <c r="R208" i="26" s="1"/>
  <c r="R200" i="26"/>
  <c r="K200" i="26"/>
  <c r="K201" i="26"/>
  <c r="K208" i="26" s="1"/>
  <c r="N150" i="26"/>
  <c r="N68" i="26"/>
  <c r="N147" i="26" s="1"/>
  <c r="I204" i="26"/>
  <c r="I206" i="26"/>
  <c r="I207" i="26"/>
  <c r="I61" i="26"/>
  <c r="I60" i="26"/>
  <c r="I151" i="26"/>
  <c r="I59" i="26"/>
  <c r="I67" i="26"/>
  <c r="I62" i="26"/>
  <c r="H64" i="26"/>
  <c r="F134" i="26"/>
  <c r="H129" i="26"/>
  <c r="H116" i="26" s="1"/>
  <c r="H119" i="26" s="1"/>
  <c r="H73" i="26"/>
  <c r="H76" i="26" s="1"/>
  <c r="H92" i="26" s="1"/>
  <c r="H44" i="26"/>
  <c r="H45" i="26" s="1"/>
  <c r="H58" i="26" s="1"/>
  <c r="F132" i="26"/>
  <c r="F133" i="26" s="1"/>
  <c r="F128" i="26"/>
  <c r="F41" i="26" s="1"/>
  <c r="E198" i="26"/>
  <c r="E195" i="26"/>
  <c r="E199" i="26"/>
  <c r="E192" i="26"/>
  <c r="G132" i="26"/>
  <c r="G133" i="26" s="1"/>
  <c r="G128" i="26"/>
  <c r="G41" i="26" s="1"/>
  <c r="K203" i="26" l="1"/>
  <c r="K205" i="26" s="1"/>
  <c r="K202" i="26"/>
  <c r="K4" i="26" s="1"/>
  <c r="O202" i="26"/>
  <c r="O4" i="26" s="1"/>
  <c r="O203" i="26"/>
  <c r="O205" i="26" s="1"/>
  <c r="Q150" i="26"/>
  <c r="Q68" i="26"/>
  <c r="Q147" i="26" s="1"/>
  <c r="K152" i="26"/>
  <c r="K154" i="26" s="1"/>
  <c r="K155" i="26" s="1"/>
  <c r="K189" i="26" s="1"/>
  <c r="K149" i="26"/>
  <c r="N203" i="26"/>
  <c r="N205" i="26" s="1"/>
  <c r="N202" i="26"/>
  <c r="N4" i="26" s="1"/>
  <c r="L150" i="26"/>
  <c r="L68" i="26"/>
  <c r="L147" i="26" s="1"/>
  <c r="R203" i="26"/>
  <c r="R205" i="26" s="1"/>
  <c r="R202" i="26"/>
  <c r="R4" i="26" s="1"/>
  <c r="T9" i="26"/>
  <c r="T25" i="26"/>
  <c r="T194" i="26"/>
  <c r="P152" i="26"/>
  <c r="P154" i="26" s="1"/>
  <c r="P155" i="26" s="1"/>
  <c r="P189" i="26" s="1"/>
  <c r="P149" i="26"/>
  <c r="P202" i="26"/>
  <c r="P4" i="26" s="1"/>
  <c r="P203" i="26"/>
  <c r="P205" i="26" s="1"/>
  <c r="L200" i="26"/>
  <c r="L201" i="26"/>
  <c r="L208" i="26" s="1"/>
  <c r="S201" i="26"/>
  <c r="S208" i="26" s="1"/>
  <c r="S200" i="26"/>
  <c r="R149" i="26"/>
  <c r="R152" i="26"/>
  <c r="R154" i="26" s="1"/>
  <c r="R155" i="26" s="1"/>
  <c r="R189" i="26" s="1"/>
  <c r="M203" i="26"/>
  <c r="M205" i="26" s="1"/>
  <c r="M202" i="26"/>
  <c r="M4" i="26" s="1"/>
  <c r="O149" i="26"/>
  <c r="O152" i="26"/>
  <c r="O154" i="26" s="1"/>
  <c r="O155" i="26" s="1"/>
  <c r="O189" i="26" s="1"/>
  <c r="N149" i="26"/>
  <c r="N152" i="26"/>
  <c r="N154" i="26" s="1"/>
  <c r="N155" i="26" s="1"/>
  <c r="N189" i="26" s="1"/>
  <c r="Q201" i="26"/>
  <c r="Q208" i="26" s="1"/>
  <c r="Q200" i="26"/>
  <c r="S68" i="26"/>
  <c r="S147" i="26" s="1"/>
  <c r="S150" i="26"/>
  <c r="M152" i="26"/>
  <c r="M154" i="26" s="1"/>
  <c r="M155" i="26" s="1"/>
  <c r="M189" i="26" s="1"/>
  <c r="M149" i="26"/>
  <c r="I150" i="26"/>
  <c r="I68" i="26"/>
  <c r="I147" i="26" s="1"/>
  <c r="I201" i="26"/>
  <c r="I208" i="26" s="1"/>
  <c r="I200" i="26"/>
  <c r="F44" i="26"/>
  <c r="F65" i="26" s="1"/>
  <c r="F66" i="26" s="1"/>
  <c r="H98" i="26"/>
  <c r="H103" i="26"/>
  <c r="H104" i="26" s="1"/>
  <c r="H94" i="26"/>
  <c r="H93" i="26"/>
  <c r="H206" i="26" s="1"/>
  <c r="H95" i="26"/>
  <c r="H97" i="26"/>
  <c r="H70" i="26"/>
  <c r="H107" i="26" s="1"/>
  <c r="H96" i="26"/>
  <c r="H135" i="26"/>
  <c r="H65" i="26"/>
  <c r="H66" i="26" s="1"/>
  <c r="H118" i="26"/>
  <c r="F129" i="26"/>
  <c r="F116" i="26" s="1"/>
  <c r="F118" i="26" s="1"/>
  <c r="F73" i="26"/>
  <c r="F70" i="26" s="1"/>
  <c r="F64" i="26"/>
  <c r="G129" i="26"/>
  <c r="G116" i="26" s="1"/>
  <c r="G73" i="26"/>
  <c r="G44" i="26"/>
  <c r="G64" i="26"/>
  <c r="H60" i="26"/>
  <c r="H61" i="26"/>
  <c r="H62" i="26"/>
  <c r="H59" i="26"/>
  <c r="H67" i="26"/>
  <c r="E196" i="26"/>
  <c r="E197" i="26"/>
  <c r="Q203" i="26" l="1"/>
  <c r="Q205" i="26" s="1"/>
  <c r="Q202" i="26"/>
  <c r="Q4" i="26" s="1"/>
  <c r="T195" i="26"/>
  <c r="T192" i="26"/>
  <c r="K9" i="26"/>
  <c r="K25" i="26"/>
  <c r="K194" i="26"/>
  <c r="P25" i="26"/>
  <c r="P9" i="26"/>
  <c r="P194" i="26"/>
  <c r="L152" i="26"/>
  <c r="L154" i="26" s="1"/>
  <c r="L155" i="26" s="1"/>
  <c r="L189" i="26" s="1"/>
  <c r="L149" i="26"/>
  <c r="S149" i="26"/>
  <c r="S152" i="26"/>
  <c r="S154" i="26" s="1"/>
  <c r="S155" i="26" s="1"/>
  <c r="S189" i="26" s="1"/>
  <c r="L202" i="26"/>
  <c r="L4" i="26" s="1"/>
  <c r="L203" i="26"/>
  <c r="L205" i="26" s="1"/>
  <c r="M25" i="26"/>
  <c r="M9" i="26"/>
  <c r="M194" i="26"/>
  <c r="S203" i="26"/>
  <c r="S205" i="26" s="1"/>
  <c r="S202" i="26"/>
  <c r="S4" i="26" s="1"/>
  <c r="R25" i="26"/>
  <c r="R9" i="26"/>
  <c r="R194" i="26"/>
  <c r="N9" i="26"/>
  <c r="N25" i="26"/>
  <c r="N194" i="26"/>
  <c r="Q152" i="26"/>
  <c r="Q154" i="26" s="1"/>
  <c r="Q155" i="26" s="1"/>
  <c r="Q189" i="26" s="1"/>
  <c r="Q149" i="26"/>
  <c r="O9" i="26"/>
  <c r="O25" i="26"/>
  <c r="O194" i="26"/>
  <c r="I149" i="26"/>
  <c r="I152" i="26"/>
  <c r="I154" i="26" s="1"/>
  <c r="I155" i="26" s="1"/>
  <c r="I189" i="26" s="1"/>
  <c r="I203" i="26"/>
  <c r="I205" i="26" s="1"/>
  <c r="I202" i="26"/>
  <c r="I4" i="26" s="1"/>
  <c r="F45" i="26"/>
  <c r="F58" i="26" s="1"/>
  <c r="H207" i="26"/>
  <c r="H100" i="26"/>
  <c r="H101" i="26"/>
  <c r="H102" i="26" s="1"/>
  <c r="H204" i="26"/>
  <c r="F119" i="26"/>
  <c r="F101" i="26"/>
  <c r="F102" i="26" s="1"/>
  <c r="F76" i="26"/>
  <c r="F92" i="26" s="1"/>
  <c r="F94" i="26" s="1"/>
  <c r="H201" i="26"/>
  <c r="H208" i="26" s="1"/>
  <c r="H200" i="26"/>
  <c r="G70" i="26"/>
  <c r="G76" i="26"/>
  <c r="G92" i="26" s="1"/>
  <c r="G118" i="26"/>
  <c r="G119" i="26"/>
  <c r="H68" i="26"/>
  <c r="H147" i="26" s="1"/>
  <c r="G45" i="26"/>
  <c r="G65" i="26"/>
  <c r="G66" i="26" s="1"/>
  <c r="F107" i="26"/>
  <c r="F100" i="26"/>
  <c r="P195" i="26" l="1"/>
  <c r="P192" i="26"/>
  <c r="Q25" i="26"/>
  <c r="Q9" i="26"/>
  <c r="Q194" i="26"/>
  <c r="S9" i="26"/>
  <c r="S25" i="26"/>
  <c r="S194" i="26"/>
  <c r="O195" i="26"/>
  <c r="O192" i="26"/>
  <c r="R195" i="26"/>
  <c r="R192" i="26"/>
  <c r="N195" i="26"/>
  <c r="N192" i="26"/>
  <c r="M192" i="26"/>
  <c r="M195" i="26"/>
  <c r="L25" i="26"/>
  <c r="L9" i="26"/>
  <c r="L194" i="26"/>
  <c r="K192" i="26"/>
  <c r="K195" i="26"/>
  <c r="T196" i="26"/>
  <c r="T197" i="26"/>
  <c r="I9" i="26"/>
  <c r="I25" i="26"/>
  <c r="I194" i="26"/>
  <c r="H150" i="26"/>
  <c r="H151" i="26"/>
  <c r="F97" i="26"/>
  <c r="F103" i="26"/>
  <c r="F104" i="26" s="1"/>
  <c r="F135" i="26"/>
  <c r="F98" i="26"/>
  <c r="F95" i="26"/>
  <c r="F93" i="26"/>
  <c r="F206" i="26" s="1"/>
  <c r="F96" i="26"/>
  <c r="F151" i="26"/>
  <c r="F67" i="26"/>
  <c r="F62" i="26"/>
  <c r="F59" i="26"/>
  <c r="F61" i="26"/>
  <c r="F60" i="26"/>
  <c r="G107" i="26"/>
  <c r="G100" i="26"/>
  <c r="G58" i="26"/>
  <c r="G135" i="26"/>
  <c r="G96" i="26"/>
  <c r="G103" i="26"/>
  <c r="G104" i="26" s="1"/>
  <c r="G98" i="26"/>
  <c r="G97" i="26"/>
  <c r="G95" i="26"/>
  <c r="G94" i="26"/>
  <c r="G93" i="26"/>
  <c r="H152" i="26"/>
  <c r="H154" i="26" s="1"/>
  <c r="H155" i="26" s="1"/>
  <c r="H149" i="26"/>
  <c r="H202" i="26"/>
  <c r="H4" i="26" s="1"/>
  <c r="H203" i="26"/>
  <c r="H205" i="26" s="1"/>
  <c r="G101" i="26"/>
  <c r="G102" i="26" s="1"/>
  <c r="K197" i="26" l="1"/>
  <c r="K196" i="26"/>
  <c r="O196" i="26"/>
  <c r="O197" i="26"/>
  <c r="Q195" i="26"/>
  <c r="Q192" i="26"/>
  <c r="M196" i="26"/>
  <c r="M197" i="26"/>
  <c r="S192" i="26"/>
  <c r="S195" i="26"/>
  <c r="L192" i="26"/>
  <c r="L195" i="26"/>
  <c r="R197" i="26"/>
  <c r="R196" i="26"/>
  <c r="N197" i="26"/>
  <c r="N196" i="26"/>
  <c r="P196" i="26"/>
  <c r="P197" i="26"/>
  <c r="I195" i="26"/>
  <c r="I192" i="26"/>
  <c r="F204" i="26"/>
  <c r="F207" i="26"/>
  <c r="G59" i="26"/>
  <c r="G151" i="26"/>
  <c r="G60" i="26"/>
  <c r="G67" i="26"/>
  <c r="G62" i="26"/>
  <c r="G61" i="26"/>
  <c r="F200" i="26"/>
  <c r="F201" i="26"/>
  <c r="F208" i="26" s="1"/>
  <c r="G204" i="26"/>
  <c r="G206" i="26"/>
  <c r="G207" i="26"/>
  <c r="F150" i="26"/>
  <c r="F68" i="26"/>
  <c r="F147" i="26" s="1"/>
  <c r="H173" i="26"/>
  <c r="H175" i="26" s="1"/>
  <c r="H178" i="26"/>
  <c r="H180" i="26" s="1"/>
  <c r="H25" i="26"/>
  <c r="H9" i="26"/>
  <c r="H194" i="26"/>
  <c r="S196" i="26" l="1"/>
  <c r="S197" i="26"/>
  <c r="Q197" i="26"/>
  <c r="Q196" i="26"/>
  <c r="L196" i="26"/>
  <c r="L197" i="26"/>
  <c r="I196" i="26"/>
  <c r="I197" i="26"/>
  <c r="H192" i="26"/>
  <c r="H195" i="26"/>
  <c r="F152" i="26"/>
  <c r="F154" i="26" s="1"/>
  <c r="F155" i="26" s="1"/>
  <c r="F149" i="26"/>
  <c r="F203" i="26"/>
  <c r="F205" i="26" s="1"/>
  <c r="F202" i="26"/>
  <c r="F4" i="26" s="1"/>
  <c r="G150" i="26"/>
  <c r="G68" i="26"/>
  <c r="G147" i="26" s="1"/>
  <c r="H189" i="26"/>
  <c r="G200" i="26"/>
  <c r="G201" i="26"/>
  <c r="G208" i="26" s="1"/>
  <c r="G202" i="26" l="1"/>
  <c r="G4" i="26" s="1"/>
  <c r="G203" i="26"/>
  <c r="G205" i="26" s="1"/>
  <c r="G149" i="26"/>
  <c r="G152" i="26"/>
  <c r="G154" i="26" s="1"/>
  <c r="G155" i="26" s="1"/>
  <c r="H197" i="26"/>
  <c r="H196" i="26"/>
  <c r="F173" i="26"/>
  <c r="F175" i="26" s="1"/>
  <c r="F178" i="26"/>
  <c r="F180" i="26" s="1"/>
  <c r="F25" i="26"/>
  <c r="F9" i="26"/>
  <c r="F194" i="26"/>
  <c r="F189" i="26" l="1"/>
  <c r="F195" i="26"/>
  <c r="F192" i="26"/>
  <c r="G173" i="26"/>
  <c r="G175" i="26" s="1"/>
  <c r="G178" i="26"/>
  <c r="G180" i="26" s="1"/>
  <c r="G9" i="26"/>
  <c r="G25" i="26"/>
  <c r="G194" i="26"/>
  <c r="G189" i="26" l="1"/>
  <c r="G192" i="26"/>
  <c r="G195" i="26"/>
  <c r="F196" i="26"/>
  <c r="F197" i="26"/>
  <c r="G196" i="26" l="1"/>
  <c r="G197" i="26"/>
</calcChain>
</file>

<file path=xl/sharedStrings.xml><?xml version="1.0" encoding="utf-8"?>
<sst xmlns="http://schemas.openxmlformats.org/spreadsheetml/2006/main" count="498" uniqueCount="285">
  <si>
    <t>mAh/g</t>
  </si>
  <si>
    <t>%</t>
  </si>
  <si>
    <t>mAh/cc</t>
  </si>
  <si>
    <t>g/cc</t>
  </si>
  <si>
    <t>LiMO2</t>
  </si>
  <si>
    <t>SP</t>
  </si>
  <si>
    <t>CNTS</t>
  </si>
  <si>
    <t>-</t>
  </si>
  <si>
    <t>CMC</t>
  </si>
  <si>
    <t>PAA</t>
  </si>
  <si>
    <t>SBR</t>
  </si>
  <si>
    <t>mm</t>
  </si>
  <si>
    <t>mg/cm2</t>
  </si>
  <si>
    <t>um</t>
  </si>
  <si>
    <t>mm2</t>
  </si>
  <si>
    <t>g</t>
  </si>
  <si>
    <t>cc</t>
  </si>
  <si>
    <t>cc/Ah</t>
  </si>
  <si>
    <t>V</t>
  </si>
  <si>
    <t>Ah</t>
  </si>
  <si>
    <t>Wh</t>
  </si>
  <si>
    <t>Wh/kg</t>
  </si>
  <si>
    <t>Wh/L</t>
  </si>
  <si>
    <t>NCA90:5:5</t>
    <phoneticPr fontId="28" type="noConversion"/>
  </si>
  <si>
    <t>Si</t>
    <phoneticPr fontId="28" type="noConversion"/>
  </si>
  <si>
    <t>PVdF</t>
    <phoneticPr fontId="28" type="noConversion"/>
  </si>
  <si>
    <t>Graphite/Si</t>
    <phoneticPr fontId="28" type="noConversion"/>
  </si>
  <si>
    <t>mm</t>
    <phoneticPr fontId="28" type="noConversion"/>
  </si>
  <si>
    <t>PE</t>
    <phoneticPr fontId="28" type="noConversion"/>
  </si>
  <si>
    <t>g</t>
    <phoneticPr fontId="28" type="noConversion"/>
  </si>
  <si>
    <t>mg/cm2</t>
    <phoneticPr fontId="28" type="noConversion"/>
  </si>
  <si>
    <t>mm</t>
    <phoneticPr fontId="28" type="noConversion"/>
  </si>
  <si>
    <r>
      <rPr>
        <b/>
        <sz val="28"/>
        <rFont val="宋体"/>
        <family val="3"/>
        <charset val="134"/>
      </rPr>
      <t>电池设计一览表</t>
    </r>
  </si>
  <si>
    <r>
      <rPr>
        <b/>
        <sz val="12"/>
        <color rgb="FF000000"/>
        <rFont val="宋体"/>
        <family val="3"/>
        <charset val="134"/>
      </rPr>
      <t>■正极材料</t>
    </r>
  </si>
  <si>
    <r>
      <rPr>
        <sz val="11"/>
        <color indexed="8"/>
        <rFont val="宋体"/>
        <family val="3"/>
        <charset val="134"/>
      </rPr>
      <t>正极活物质</t>
    </r>
  </si>
  <si>
    <r>
      <rPr>
        <sz val="11"/>
        <color indexed="8"/>
        <rFont val="宋体"/>
        <family val="3"/>
        <charset val="134"/>
      </rPr>
      <t>种类</t>
    </r>
  </si>
  <si>
    <r>
      <rPr>
        <sz val="11"/>
        <color indexed="8"/>
        <rFont val="宋体"/>
        <family val="3"/>
        <charset val="134"/>
      </rPr>
      <t>电池：发挥克放电容量</t>
    </r>
  </si>
  <si>
    <r>
      <rPr>
        <sz val="11"/>
        <color rgb="FF000000"/>
        <rFont val="宋体"/>
        <family val="3"/>
        <charset val="134"/>
      </rPr>
      <t>不可逆克容量</t>
    </r>
  </si>
  <si>
    <r>
      <rPr>
        <sz val="11"/>
        <color rgb="FF000000"/>
        <rFont val="宋体"/>
        <family val="3"/>
        <charset val="134"/>
      </rPr>
      <t>正极体积容量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</si>
  <si>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真密度</t>
    </r>
    <r>
      <rPr>
        <sz val="11"/>
        <color rgb="FF000000"/>
        <rFont val="Times New Roman"/>
        <family val="1"/>
      </rPr>
      <t xml:space="preserve"> SP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</si>
  <si>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真密度</t>
    </r>
    <r>
      <rPr>
        <sz val="11"/>
        <color rgb="FF000000"/>
        <rFont val="Times New Roman"/>
        <family val="1"/>
      </rPr>
      <t xml:space="preserve"> CNTs</t>
    </r>
  </si>
  <si>
    <r>
      <rPr>
        <sz val="11"/>
        <color rgb="FF000000"/>
        <rFont val="宋体"/>
        <family val="3"/>
        <charset val="134"/>
      </rPr>
      <t>粘结剂真密度</t>
    </r>
  </si>
  <si>
    <r>
      <rPr>
        <sz val="11"/>
        <color indexed="8"/>
        <rFont val="宋体"/>
        <family val="3"/>
        <charset val="134"/>
      </rPr>
      <t>活物质比例</t>
    </r>
  </si>
  <si>
    <r>
      <rPr>
        <sz val="11"/>
        <color indexed="8"/>
        <rFont val="宋体"/>
        <family val="3"/>
        <charset val="134"/>
      </rPr>
      <t>导电材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宋体"/>
        <family val="3"/>
        <charset val="134"/>
      </rPr>
      <t>比例</t>
    </r>
  </si>
  <si>
    <r>
      <rPr>
        <sz val="11"/>
        <color indexed="8"/>
        <rFont val="宋体"/>
        <family val="3"/>
        <charset val="134"/>
      </rPr>
      <t>导电材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宋体"/>
        <family val="3"/>
        <charset val="134"/>
      </rPr>
      <t>比例</t>
    </r>
  </si>
  <si>
    <r>
      <rPr>
        <sz val="11"/>
        <color indexed="8"/>
        <rFont val="宋体"/>
        <family val="3"/>
        <charset val="134"/>
      </rPr>
      <t>粘结剂比例</t>
    </r>
  </si>
  <si>
    <r>
      <rPr>
        <b/>
        <sz val="11"/>
        <color rgb="FF000000"/>
        <rFont val="宋体"/>
        <family val="3"/>
        <charset val="134"/>
      </rPr>
      <t>■负极材料</t>
    </r>
  </si>
  <si>
    <r>
      <rPr>
        <sz val="11"/>
        <color indexed="8"/>
        <rFont val="宋体"/>
        <family val="3"/>
        <charset val="134"/>
      </rPr>
      <t>负极活物质</t>
    </r>
    <r>
      <rPr>
        <sz val="11"/>
        <color indexed="8"/>
        <rFont val="Times New Roman"/>
        <family val="1"/>
      </rPr>
      <t>1</t>
    </r>
  </si>
  <si>
    <r>
      <rPr>
        <sz val="11"/>
        <color indexed="8"/>
        <rFont val="宋体"/>
        <family val="3"/>
        <charset val="134"/>
      </rPr>
      <t>负极活物质</t>
    </r>
    <r>
      <rPr>
        <sz val="11"/>
        <color indexed="8"/>
        <rFont val="Times New Roman"/>
        <family val="1"/>
      </rPr>
      <t>2</t>
    </r>
  </si>
  <si>
    <r>
      <rPr>
        <sz val="11"/>
        <color indexed="8"/>
        <rFont val="宋体"/>
        <family val="3"/>
        <charset val="134"/>
      </rPr>
      <t>负极活物质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宋体"/>
        <family val="3"/>
        <charset val="134"/>
      </rPr>
      <t>比例</t>
    </r>
  </si>
  <si>
    <r>
      <rPr>
        <sz val="11"/>
        <color indexed="8"/>
        <rFont val="宋体"/>
        <family val="3"/>
        <charset val="134"/>
      </rPr>
      <t>负极活物质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宋体"/>
        <family val="3"/>
        <charset val="134"/>
      </rPr>
      <t>比例</t>
    </r>
  </si>
  <si>
    <r>
      <rPr>
        <sz val="11"/>
        <color indexed="8"/>
        <rFont val="宋体"/>
        <family val="3"/>
        <charset val="134"/>
      </rPr>
      <t>材料充电克容量</t>
    </r>
  </si>
  <si>
    <r>
      <rPr>
        <sz val="11"/>
        <color indexed="8"/>
        <rFont val="宋体"/>
        <family val="3"/>
        <charset val="134"/>
      </rPr>
      <t>材料放电克容量</t>
    </r>
  </si>
  <si>
    <r>
      <rPr>
        <sz val="11"/>
        <color indexed="8"/>
        <rFont val="宋体"/>
        <family val="3"/>
        <charset val="134"/>
      </rPr>
      <t>效率</t>
    </r>
  </si>
  <si>
    <r>
      <rPr>
        <sz val="11"/>
        <color rgb="FF000000"/>
        <rFont val="宋体"/>
        <family val="3"/>
        <charset val="134"/>
      </rPr>
      <t>负极体积容量</t>
    </r>
  </si>
  <si>
    <r>
      <rPr>
        <sz val="11"/>
        <color rgb="FF000000"/>
        <rFont val="宋体"/>
        <family val="3"/>
        <charset val="134"/>
      </rPr>
      <t>活物质真密度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</si>
  <si>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真密度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</si>
  <si>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真密度</t>
    </r>
  </si>
  <si>
    <r>
      <rPr>
        <sz val="11"/>
        <color rgb="FF000000"/>
        <rFont val="宋体"/>
        <family val="3"/>
        <charset val="134"/>
      </rPr>
      <t>増粘剂真密度</t>
    </r>
  </si>
  <si>
    <r>
      <rPr>
        <sz val="11"/>
        <color rgb="FF000000"/>
        <rFont val="宋体"/>
        <family val="3"/>
        <charset val="134"/>
      </rPr>
      <t>粘结剂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真密度</t>
    </r>
  </si>
  <si>
    <r>
      <rPr>
        <sz val="11"/>
        <color rgb="FF000000"/>
        <rFont val="宋体"/>
        <family val="3"/>
        <charset val="134"/>
      </rPr>
      <t>粘结剂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真密度</t>
    </r>
  </si>
  <si>
    <r>
      <rPr>
        <sz val="11"/>
        <color rgb="FF000000"/>
        <rFont val="宋体"/>
        <family val="3"/>
        <charset val="134"/>
      </rPr>
      <t>活物质比例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</si>
  <si>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</si>
  <si>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导电材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</si>
  <si>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増粘剂比例</t>
    </r>
  </si>
  <si>
    <r>
      <rPr>
        <sz val="11"/>
        <color rgb="FF000000"/>
        <rFont val="宋体"/>
        <family val="3"/>
        <charset val="134"/>
      </rPr>
      <t>粘结剂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</si>
  <si>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粘结剂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比例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</si>
  <si>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极宽</t>
    </r>
  </si>
  <si>
    <r>
      <t>Al</t>
    </r>
    <r>
      <rPr>
        <sz val="11"/>
        <color rgb="FF000000"/>
        <rFont val="宋体"/>
        <family val="3"/>
        <charset val="134"/>
      </rPr>
      <t>基材面密度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</si>
  <si>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极活物质密度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</si>
  <si>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极涂层密度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</si>
  <si>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极涂层真密度</t>
    </r>
  </si>
  <si>
    <r>
      <rPr>
        <sz val="11"/>
        <color rgb="FF000000"/>
        <rFont val="宋体"/>
        <family val="3"/>
        <charset val="134"/>
      </rPr>
      <t>辊压之后厚度回弹率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</si>
  <si>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极辊压目标厚度</t>
    </r>
  </si>
  <si>
    <r>
      <rPr>
        <sz val="11"/>
        <color rgb="FF000000"/>
        <rFont val="宋体"/>
        <family val="3"/>
        <charset val="134"/>
      </rPr>
      <t>正极厚度</t>
    </r>
  </si>
  <si>
    <r>
      <t>Al</t>
    </r>
    <r>
      <rPr>
        <sz val="11"/>
        <color rgb="FF000000"/>
        <rFont val="宋体"/>
        <family val="3"/>
        <charset val="134"/>
      </rPr>
      <t>基材厚</t>
    </r>
  </si>
  <si>
    <r>
      <rPr>
        <sz val="11"/>
        <color indexed="8"/>
        <rFont val="宋体"/>
        <family val="3"/>
        <charset val="134"/>
      </rPr>
      <t>辊压后延伸率</t>
    </r>
  </si>
  <si>
    <r>
      <rPr>
        <sz val="11"/>
        <color indexed="8"/>
        <rFont val="宋体"/>
        <family val="3"/>
        <charset val="134"/>
      </rPr>
      <t>辊压后</t>
    </r>
    <r>
      <rPr>
        <sz val="11"/>
        <color indexed="8"/>
        <rFont val="Times New Roman"/>
        <family val="1"/>
      </rPr>
      <t>Al</t>
    </r>
    <r>
      <rPr>
        <sz val="11"/>
        <color indexed="8"/>
        <rFont val="宋体"/>
        <family val="3"/>
        <charset val="134"/>
      </rPr>
      <t>基材厚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</si>
  <si>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极涂层重量</t>
    </r>
  </si>
  <si>
    <r>
      <rPr>
        <sz val="11"/>
        <color rgb="FF000000"/>
        <rFont val="宋体"/>
        <family val="3"/>
        <charset val="134"/>
      </rPr>
      <t>正极活物质量</t>
    </r>
  </si>
  <si>
    <r>
      <rPr>
        <sz val="11"/>
        <color indexed="8"/>
        <rFont val="宋体"/>
        <family val="3"/>
        <charset val="134"/>
      </rPr>
      <t>导电剂</t>
    </r>
    <r>
      <rPr>
        <sz val="11"/>
        <color indexed="8"/>
        <rFont val="Times New Roman"/>
        <family val="1"/>
      </rPr>
      <t>1</t>
    </r>
    <r>
      <rPr>
        <sz val="11"/>
        <color indexed="8"/>
        <rFont val="宋体"/>
        <family val="3"/>
        <charset val="134"/>
      </rPr>
      <t>量</t>
    </r>
  </si>
  <si>
    <r>
      <rPr>
        <sz val="11"/>
        <color indexed="8"/>
        <rFont val="宋体"/>
        <family val="3"/>
        <charset val="134"/>
      </rPr>
      <t>导电剂</t>
    </r>
    <r>
      <rPr>
        <sz val="11"/>
        <color indexed="8"/>
        <rFont val="Times New Roman"/>
        <family val="1"/>
      </rPr>
      <t>2</t>
    </r>
    <r>
      <rPr>
        <sz val="11"/>
        <color indexed="8"/>
        <rFont val="宋体"/>
        <family val="3"/>
        <charset val="134"/>
      </rPr>
      <t>量</t>
    </r>
  </si>
  <si>
    <r>
      <t>PVDF</t>
    </r>
    <r>
      <rPr>
        <sz val="11"/>
        <color rgb="FF000000"/>
        <rFont val="宋体"/>
        <family val="3"/>
        <charset val="134"/>
      </rPr>
      <t>量</t>
    </r>
  </si>
  <si>
    <r>
      <t>Al</t>
    </r>
    <r>
      <rPr>
        <sz val="11"/>
        <color rgb="FF000000"/>
        <rFont val="宋体"/>
        <family val="3"/>
        <charset val="134"/>
      </rPr>
      <t>真密度</t>
    </r>
  </si>
  <si>
    <r>
      <t>Al</t>
    </r>
    <r>
      <rPr>
        <sz val="11"/>
        <color rgb="FF000000"/>
        <rFont val="宋体"/>
        <family val="3"/>
        <charset val="134"/>
      </rPr>
      <t>基材量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</si>
  <si>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极涂层体积</t>
    </r>
  </si>
  <si>
    <r>
      <rPr>
        <sz val="11"/>
        <color rgb="FF000000"/>
        <rFont val="宋体"/>
        <family val="3"/>
        <charset val="134"/>
      </rPr>
      <t>正极涂层空隙</t>
    </r>
  </si>
  <si>
    <r>
      <rPr>
        <sz val="11"/>
        <color rgb="FF000000"/>
        <rFont val="宋体"/>
        <family val="3"/>
        <charset val="134"/>
      </rPr>
      <t>负极宽</t>
    </r>
  </si>
  <si>
    <r>
      <rPr>
        <sz val="11"/>
        <color rgb="FF000000"/>
        <rFont val="宋体"/>
        <family val="3"/>
        <charset val="134"/>
      </rPr>
      <t>两面涂布面密度</t>
    </r>
  </si>
  <si>
    <r>
      <t>Cu</t>
    </r>
    <r>
      <rPr>
        <sz val="11"/>
        <color rgb="FF000000"/>
        <rFont val="宋体"/>
        <family val="3"/>
        <charset val="134"/>
      </rPr>
      <t>基材面密度</t>
    </r>
  </si>
  <si>
    <r>
      <rPr>
        <sz val="11"/>
        <color rgb="FF000000"/>
        <rFont val="宋体"/>
        <family val="3"/>
        <charset val="134"/>
      </rPr>
      <t>负极</t>
    </r>
    <r>
      <rPr>
        <sz val="11"/>
        <color indexed="8"/>
        <rFont val="宋体"/>
        <family val="3"/>
        <charset val="134"/>
      </rPr>
      <t>活物质密度</t>
    </r>
  </si>
  <si>
    <r>
      <rPr>
        <sz val="11"/>
        <color indexed="8"/>
        <rFont val="宋体"/>
        <family val="3"/>
        <charset val="134"/>
      </rPr>
      <t>负极涂层密度</t>
    </r>
  </si>
  <si>
    <r>
      <rPr>
        <sz val="11"/>
        <color rgb="FF000000"/>
        <rFont val="宋体"/>
        <family val="3"/>
        <charset val="134"/>
      </rPr>
      <t>负极涂层</t>
    </r>
    <r>
      <rPr>
        <sz val="11"/>
        <color indexed="8"/>
        <rFont val="宋体"/>
        <family val="3"/>
        <charset val="134"/>
      </rPr>
      <t>真密度</t>
    </r>
  </si>
  <si>
    <r>
      <rPr>
        <sz val="11"/>
        <color indexed="8"/>
        <rFont val="宋体"/>
        <family val="3"/>
        <charset val="134"/>
      </rPr>
      <t>辊压之后厚度回弹率</t>
    </r>
  </si>
  <si>
    <r>
      <rPr>
        <sz val="11"/>
        <color indexed="8"/>
        <rFont val="宋体"/>
        <family val="3"/>
        <charset val="134"/>
      </rPr>
      <t>负极辊压目标厚度</t>
    </r>
  </si>
  <si>
    <r>
      <rPr>
        <sz val="11"/>
        <color rgb="FF000000"/>
        <rFont val="宋体"/>
        <family val="3"/>
        <charset val="134"/>
      </rPr>
      <t>负极厚度</t>
    </r>
  </si>
  <si>
    <r>
      <t>Cu</t>
    </r>
    <r>
      <rPr>
        <sz val="11"/>
        <color rgb="FF000000"/>
        <rFont val="宋体"/>
        <family val="3"/>
        <charset val="134"/>
      </rPr>
      <t>基材厚</t>
    </r>
  </si>
  <si>
    <r>
      <rPr>
        <sz val="11"/>
        <color indexed="8"/>
        <rFont val="宋体"/>
        <family val="3"/>
        <charset val="134"/>
      </rPr>
      <t>辊压后</t>
    </r>
    <r>
      <rPr>
        <sz val="11"/>
        <color indexed="8"/>
        <rFont val="Times New Roman"/>
        <family val="1"/>
      </rPr>
      <t>Cu</t>
    </r>
    <r>
      <rPr>
        <sz val="11"/>
        <color indexed="8"/>
        <rFont val="宋体"/>
        <family val="3"/>
        <charset val="134"/>
      </rPr>
      <t>基材厚</t>
    </r>
  </si>
  <si>
    <r>
      <rPr>
        <sz val="11"/>
        <color indexed="8"/>
        <rFont val="宋体"/>
        <family val="3"/>
        <charset val="134"/>
      </rPr>
      <t>负极涂层重量</t>
    </r>
  </si>
  <si>
    <r>
      <rPr>
        <sz val="11"/>
        <color indexed="8"/>
        <rFont val="宋体"/>
        <family val="3"/>
        <charset val="134"/>
      </rPr>
      <t>负极活物质量</t>
    </r>
  </si>
  <si>
    <r>
      <rPr>
        <sz val="11"/>
        <color rgb="FF000000"/>
        <rFont val="宋体"/>
        <family val="3"/>
        <charset val="134"/>
      </rPr>
      <t>导电剂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量</t>
    </r>
  </si>
  <si>
    <r>
      <rPr>
        <sz val="11"/>
        <color rgb="FF000000"/>
        <rFont val="宋体"/>
        <family val="3"/>
        <charset val="134"/>
      </rPr>
      <t>导电剂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量</t>
    </r>
  </si>
  <si>
    <r>
      <t>SBR</t>
    </r>
    <r>
      <rPr>
        <sz val="11"/>
        <color rgb="FF000000"/>
        <rFont val="宋体"/>
        <family val="3"/>
        <charset val="134"/>
      </rPr>
      <t>量（固体）</t>
    </r>
  </si>
  <si>
    <r>
      <t>CMC</t>
    </r>
    <r>
      <rPr>
        <sz val="11"/>
        <color rgb="FF000000"/>
        <rFont val="宋体"/>
        <family val="3"/>
        <charset val="134"/>
      </rPr>
      <t>粘</t>
    </r>
    <r>
      <rPr>
        <sz val="11"/>
        <color indexed="8"/>
        <rFont val="宋体"/>
        <family val="3"/>
        <charset val="134"/>
      </rPr>
      <t>结剂量（固体）</t>
    </r>
  </si>
  <si>
    <r>
      <t>Cu</t>
    </r>
    <r>
      <rPr>
        <sz val="11"/>
        <color rgb="FF000000"/>
        <rFont val="宋体"/>
        <family val="3"/>
        <charset val="134"/>
      </rPr>
      <t>真密度</t>
    </r>
  </si>
  <si>
    <r>
      <t>Cu</t>
    </r>
    <r>
      <rPr>
        <sz val="11"/>
        <color rgb="FF000000"/>
        <rFont val="宋体"/>
        <family val="3"/>
        <charset val="134"/>
      </rPr>
      <t>基材量</t>
    </r>
  </si>
  <si>
    <r>
      <rPr>
        <sz val="11"/>
        <rFont val="宋体"/>
        <family val="3"/>
        <charset val="134"/>
      </rPr>
      <t>负极涂层体积</t>
    </r>
  </si>
  <si>
    <r>
      <rPr>
        <sz val="11"/>
        <rFont val="宋体"/>
        <family val="3"/>
        <charset val="134"/>
      </rPr>
      <t>负极涂层空隙</t>
    </r>
  </si>
  <si>
    <r>
      <rPr>
        <sz val="11"/>
        <color indexed="8"/>
        <rFont val="宋体"/>
        <family val="3"/>
        <charset val="134"/>
      </rPr>
      <t>负极宽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正极宽</t>
    </r>
  </si>
  <si>
    <r>
      <rPr>
        <sz val="11"/>
        <color rgb="FF000000"/>
        <rFont val="宋体"/>
        <family val="3"/>
        <charset val="134"/>
      </rPr>
      <t>涂布面积比　正极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负极</t>
    </r>
  </si>
  <si>
    <r>
      <rPr>
        <sz val="11"/>
        <color rgb="FF000000"/>
        <rFont val="宋体"/>
        <family val="3"/>
        <charset val="134"/>
      </rPr>
      <t>‐</t>
    </r>
  </si>
  <si>
    <r>
      <rPr>
        <sz val="11"/>
        <color rgb="FF000000"/>
        <rFont val="宋体"/>
        <family val="3"/>
        <charset val="134"/>
      </rPr>
      <t>高度方向的富余</t>
    </r>
  </si>
  <si>
    <r>
      <rPr>
        <sz val="11"/>
        <color rgb="FF000000"/>
        <rFont val="宋体"/>
        <family val="3"/>
        <charset val="134"/>
      </rPr>
      <t>高度方向的富余度</t>
    </r>
  </si>
  <si>
    <r>
      <t>SOC100%</t>
    </r>
    <r>
      <rPr>
        <sz val="11"/>
        <color indexed="8"/>
        <rFont val="宋体"/>
        <family val="3"/>
        <charset val="134"/>
      </rPr>
      <t>负极涂层膨胀率</t>
    </r>
  </si>
  <si>
    <r>
      <t>SOC100%</t>
    </r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极厚</t>
    </r>
  </si>
  <si>
    <r>
      <t>SOC100%</t>
    </r>
    <r>
      <rPr>
        <sz val="11"/>
        <color indexed="8"/>
        <rFont val="宋体"/>
        <family val="3"/>
        <charset val="134"/>
      </rPr>
      <t>负极厚</t>
    </r>
  </si>
  <si>
    <r>
      <t>SOC100%</t>
    </r>
    <r>
      <rPr>
        <sz val="11"/>
        <color rgb="FF000000"/>
        <rFont val="宋体"/>
        <family val="3"/>
        <charset val="134"/>
      </rPr>
      <t>负极活物质密度</t>
    </r>
  </si>
  <si>
    <r>
      <rPr>
        <sz val="11"/>
        <color rgb="FF000000"/>
        <rFont val="宋体"/>
        <family val="3"/>
        <charset val="134"/>
      </rPr>
      <t>极片</t>
    </r>
    <r>
      <rPr>
        <sz val="11"/>
        <color indexed="8"/>
        <rFont val="宋体"/>
        <family val="3"/>
        <charset val="134"/>
      </rPr>
      <t>全体孔隙体积</t>
    </r>
  </si>
  <si>
    <r>
      <rPr>
        <sz val="11"/>
        <color rgb="FF000000"/>
        <rFont val="宋体"/>
        <family val="3"/>
        <charset val="134"/>
      </rPr>
      <t>极片</t>
    </r>
    <r>
      <rPr>
        <sz val="11"/>
        <color indexed="8"/>
        <rFont val="宋体"/>
        <family val="3"/>
        <charset val="134"/>
      </rPr>
      <t>孔隙中可能注液体积的比例</t>
    </r>
  </si>
  <si>
    <r>
      <rPr>
        <sz val="11"/>
        <color rgb="FF000000"/>
        <rFont val="宋体"/>
        <family val="3"/>
        <charset val="134"/>
      </rPr>
      <t>极片</t>
    </r>
    <r>
      <rPr>
        <sz val="11"/>
        <color indexed="8"/>
        <rFont val="宋体"/>
        <family val="3"/>
        <charset val="134"/>
      </rPr>
      <t>中可能注液体积</t>
    </r>
  </si>
  <si>
    <r>
      <rPr>
        <sz val="11"/>
        <color rgb="FF000000"/>
        <rFont val="宋体"/>
        <family val="3"/>
        <charset val="134"/>
      </rPr>
      <t>隔膜材</t>
    </r>
    <r>
      <rPr>
        <sz val="11"/>
        <color indexed="8"/>
        <rFont val="宋体"/>
        <family val="3"/>
        <charset val="134"/>
      </rPr>
      <t>质</t>
    </r>
  </si>
  <si>
    <r>
      <rPr>
        <sz val="11"/>
        <color rgb="FF000000"/>
        <rFont val="宋体"/>
        <family val="3"/>
        <charset val="134"/>
      </rPr>
      <t>隔膜厚</t>
    </r>
  </si>
  <si>
    <r>
      <rPr>
        <sz val="11"/>
        <color rgb="FF000000"/>
        <rFont val="宋体"/>
        <family val="3"/>
        <charset val="134"/>
      </rPr>
      <t>隔膜孔隙率</t>
    </r>
  </si>
  <si>
    <r>
      <rPr>
        <sz val="11"/>
        <color rgb="FF000000"/>
        <rFont val="宋体"/>
        <family val="3"/>
        <charset val="134"/>
      </rPr>
      <t>隔膜的体</t>
    </r>
    <r>
      <rPr>
        <sz val="11"/>
        <color indexed="8"/>
        <rFont val="宋体"/>
        <family val="3"/>
        <charset val="134"/>
      </rPr>
      <t>积</t>
    </r>
  </si>
  <si>
    <r>
      <rPr>
        <sz val="11"/>
        <color rgb="FF000000"/>
        <rFont val="宋体"/>
        <family val="3"/>
        <charset val="134"/>
      </rPr>
      <t>隔膜的密度</t>
    </r>
  </si>
  <si>
    <r>
      <rPr>
        <sz val="11"/>
        <color rgb="FF000000"/>
        <rFont val="宋体"/>
        <family val="3"/>
        <charset val="134"/>
      </rPr>
      <t>隔膜的重量</t>
    </r>
  </si>
  <si>
    <r>
      <rPr>
        <sz val="11"/>
        <color rgb="FF000000"/>
        <rFont val="宋体"/>
        <family val="3"/>
        <charset val="134"/>
      </rPr>
      <t>隔膜孔隙体</t>
    </r>
    <r>
      <rPr>
        <sz val="11"/>
        <color indexed="8"/>
        <rFont val="宋体"/>
        <family val="3"/>
        <charset val="134"/>
      </rPr>
      <t>积</t>
    </r>
  </si>
  <si>
    <r>
      <rPr>
        <sz val="11"/>
        <color indexed="8"/>
        <rFont val="宋体"/>
        <family val="3"/>
        <charset val="134"/>
      </rPr>
      <t>电解液密度</t>
    </r>
  </si>
  <si>
    <r>
      <rPr>
        <sz val="11"/>
        <color indexed="8"/>
        <rFont val="宋体"/>
        <family val="3"/>
        <charset val="134"/>
      </rPr>
      <t>壳体内部空间体积</t>
    </r>
  </si>
  <si>
    <r>
      <rPr>
        <sz val="11"/>
        <color rgb="FF000000"/>
        <rFont val="宋体"/>
        <family val="3"/>
        <charset val="134"/>
      </rPr>
      <t>胶带宽</t>
    </r>
  </si>
  <si>
    <r>
      <rPr>
        <sz val="11"/>
        <color rgb="FF000000"/>
        <rFont val="宋体"/>
        <family val="3"/>
        <charset val="134"/>
      </rPr>
      <t>胶带长</t>
    </r>
  </si>
  <si>
    <r>
      <rPr>
        <sz val="11"/>
        <color rgb="FF000000"/>
        <rFont val="宋体"/>
        <family val="3"/>
        <charset val="134"/>
      </rPr>
      <t>胶带</t>
    </r>
    <r>
      <rPr>
        <sz val="11"/>
        <color indexed="8"/>
        <rFont val="宋体"/>
        <family val="3"/>
        <charset val="134"/>
      </rPr>
      <t>重量</t>
    </r>
  </si>
  <si>
    <r>
      <rPr>
        <sz val="11"/>
        <color rgb="FF000000"/>
        <rFont val="宋体"/>
        <family val="3"/>
        <charset val="134"/>
      </rPr>
      <t>正极极耳宽度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</si>
  <si>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极极耳重量</t>
    </r>
  </si>
  <si>
    <r>
      <rPr>
        <sz val="11"/>
        <color rgb="FF000000"/>
        <rFont val="宋体"/>
        <family val="3"/>
        <charset val="134"/>
      </rPr>
      <t>负极极耳宽度</t>
    </r>
  </si>
  <si>
    <r>
      <rPr>
        <sz val="11"/>
        <color rgb="FF000000"/>
        <rFont val="宋体"/>
        <family val="3"/>
        <charset val="134"/>
      </rPr>
      <t>负极</t>
    </r>
    <r>
      <rPr>
        <sz val="11"/>
        <color indexed="8"/>
        <rFont val="宋体"/>
        <family val="3"/>
        <charset val="134"/>
      </rPr>
      <t>极耳重量</t>
    </r>
  </si>
  <si>
    <r>
      <rPr>
        <sz val="11"/>
        <color rgb="FF000000"/>
        <rFont val="宋体"/>
        <family val="3"/>
        <charset val="134"/>
      </rPr>
      <t>内部空</t>
    </r>
    <r>
      <rPr>
        <sz val="11"/>
        <color indexed="8"/>
        <rFont val="宋体"/>
        <family val="3"/>
        <charset val="134"/>
      </rPr>
      <t>间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高度</t>
    </r>
  </si>
  <si>
    <r>
      <rPr>
        <sz val="11"/>
        <color rgb="FF000000"/>
        <rFont val="宋体"/>
        <family val="3"/>
        <charset val="134"/>
      </rPr>
      <t>电</t>
    </r>
    <r>
      <rPr>
        <sz val="11"/>
        <color indexed="8"/>
        <rFont val="宋体"/>
        <family val="3"/>
        <charset val="134"/>
      </rPr>
      <t>池重量</t>
    </r>
  </si>
  <si>
    <r>
      <rPr>
        <sz val="11"/>
        <color rgb="FF000000"/>
        <rFont val="宋体"/>
        <family val="3"/>
        <charset val="134"/>
      </rPr>
      <t>电池体积</t>
    </r>
  </si>
  <si>
    <r>
      <rPr>
        <sz val="11"/>
        <color rgb="FF000000"/>
        <rFont val="宋体"/>
        <family val="3"/>
        <charset val="134"/>
      </rPr>
      <t>相对容量的气体发生量</t>
    </r>
  </si>
  <si>
    <r>
      <rPr>
        <sz val="11"/>
        <color rgb="FF000000"/>
        <rFont val="宋体"/>
        <family val="3"/>
        <charset val="134"/>
      </rPr>
      <t>电池气体发生量</t>
    </r>
  </si>
  <si>
    <r>
      <rPr>
        <sz val="11"/>
        <color rgb="FF000000"/>
        <rFont val="宋体"/>
        <family val="3"/>
        <charset val="134"/>
      </rPr>
      <t>公称电压　放电</t>
    </r>
    <r>
      <rPr>
        <sz val="11"/>
        <color rgb="FF000000"/>
        <rFont val="Times New Roman"/>
        <family val="1"/>
      </rPr>
      <t xml:space="preserve"> 0.2C</t>
    </r>
  </si>
  <si>
    <r>
      <rPr>
        <sz val="11"/>
        <color rgb="FF000000"/>
        <rFont val="宋体"/>
        <family val="3"/>
        <charset val="134"/>
      </rPr>
      <t>电池容量　</t>
    </r>
    <r>
      <rPr>
        <sz val="11"/>
        <color rgb="FF000000"/>
        <rFont val="Times New Roman"/>
        <family val="1"/>
      </rPr>
      <t>ave.</t>
    </r>
    <r>
      <rPr>
        <sz val="11"/>
        <color rgb="FF000000"/>
        <rFont val="宋体"/>
        <family val="3"/>
        <charset val="134"/>
      </rPr>
      <t>　</t>
    </r>
    <r>
      <rPr>
        <sz val="11"/>
        <color rgb="FF000000"/>
        <rFont val="Times New Roman"/>
        <family val="1"/>
      </rPr>
      <t>0.2C</t>
    </r>
  </si>
  <si>
    <r>
      <rPr>
        <sz val="11"/>
        <color rgb="FF000000"/>
        <rFont val="宋体"/>
        <family val="3"/>
        <charset val="134"/>
      </rPr>
      <t>电池能量</t>
    </r>
  </si>
  <si>
    <r>
      <rPr>
        <sz val="11"/>
        <color indexed="8"/>
        <rFont val="宋体"/>
        <family val="3"/>
        <charset val="134"/>
      </rPr>
      <t>电池能量重量密度</t>
    </r>
  </si>
  <si>
    <r>
      <rPr>
        <sz val="11"/>
        <color indexed="8"/>
        <rFont val="宋体"/>
        <family val="3"/>
        <charset val="134"/>
      </rPr>
      <t>电池能量体积密度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</si>
  <si>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极不可逆容量</t>
    </r>
  </si>
  <si>
    <r>
      <rPr>
        <sz val="11"/>
        <color rgb="FF000000"/>
        <rFont val="宋体"/>
        <family val="3"/>
        <charset val="134"/>
      </rPr>
      <t>负极充电</t>
    </r>
    <r>
      <rPr>
        <sz val="11"/>
        <color indexed="8"/>
        <rFont val="宋体"/>
        <family val="3"/>
        <charset val="134"/>
      </rPr>
      <t>容量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</si>
  <si>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极对应部分负极不可逆容量</t>
    </r>
  </si>
  <si>
    <r>
      <rPr>
        <sz val="11"/>
        <color rgb="FF000000"/>
        <rFont val="宋体"/>
        <family val="3"/>
        <charset val="134"/>
      </rPr>
      <t>负极实际</t>
    </r>
    <r>
      <rPr>
        <sz val="11"/>
        <color indexed="8"/>
        <rFont val="宋体"/>
        <family val="3"/>
        <charset val="134"/>
      </rPr>
      <t>使用容量</t>
    </r>
  </si>
  <si>
    <r>
      <rPr>
        <sz val="11"/>
        <color rgb="FF000000"/>
        <rFont val="宋体"/>
        <family val="3"/>
        <charset val="134"/>
      </rPr>
      <t>负极放电</t>
    </r>
    <r>
      <rPr>
        <sz val="11"/>
        <color indexed="8"/>
        <rFont val="宋体"/>
        <family val="3"/>
        <charset val="134"/>
      </rPr>
      <t>可能容量</t>
    </r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</si>
  <si>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极对应部分的负极放电可能容量</t>
    </r>
  </si>
  <si>
    <t>mm</t>
    <phoneticPr fontId="28" type="noConversion"/>
  </si>
  <si>
    <t>cm3</t>
    <phoneticPr fontId="28" type="noConversion"/>
  </si>
  <si>
    <t>g/cc</t>
    <phoneticPr fontId="28" type="noConversion"/>
  </si>
  <si>
    <t>μm</t>
    <phoneticPr fontId="28" type="noConversion"/>
  </si>
  <si>
    <t>-</t>
    <phoneticPr fontId="28" type="noConversion"/>
  </si>
  <si>
    <r>
      <rPr>
        <sz val="11"/>
        <color rgb="FF000000"/>
        <rFont val="宋体"/>
        <family val="3"/>
        <charset val="134"/>
      </rPr>
      <t>面密度的</t>
    </r>
    <r>
      <rPr>
        <sz val="11"/>
        <color rgb="FF000000"/>
        <rFont val="Times New Roman"/>
        <family val="1"/>
      </rPr>
      <t>N/P</t>
    </r>
    <phoneticPr fontId="28" type="noConversion"/>
  </si>
  <si>
    <t>mm</t>
    <phoneticPr fontId="28" type="noConversion"/>
  </si>
  <si>
    <t>mm</t>
    <phoneticPr fontId="28" type="noConversion"/>
  </si>
  <si>
    <t>μm</t>
    <phoneticPr fontId="28" type="noConversion"/>
  </si>
  <si>
    <t>mm</t>
    <phoneticPr fontId="28" type="noConversion"/>
  </si>
  <si>
    <t>μm</t>
    <phoneticPr fontId="28" type="noConversion"/>
  </si>
  <si>
    <t>g/cc</t>
    <phoneticPr fontId="28" type="noConversion"/>
  </si>
  <si>
    <t>A/mm2</t>
    <phoneticPr fontId="28" type="noConversion"/>
  </si>
  <si>
    <r>
      <rPr>
        <sz val="12"/>
        <rFont val="宋体"/>
        <family val="3"/>
        <charset val="134"/>
      </rPr>
      <t>测量参数对照</t>
    </r>
    <phoneticPr fontId="28" type="noConversion"/>
  </si>
  <si>
    <r>
      <rPr>
        <sz val="12"/>
        <rFont val="宋体"/>
        <family val="3"/>
        <charset val="134"/>
      </rPr>
      <t xml:space="preserve">电池设计模型
</t>
    </r>
    <r>
      <rPr>
        <sz val="12"/>
        <rFont val="Times New Roman"/>
        <family val="1"/>
      </rPr>
      <t>21700</t>
    </r>
    <phoneticPr fontId="28" type="noConversion"/>
  </si>
  <si>
    <r>
      <rPr>
        <sz val="12"/>
        <rFont val="宋体"/>
        <family val="3"/>
        <charset val="134"/>
      </rPr>
      <t xml:space="preserve">电池设计模型
</t>
    </r>
    <r>
      <rPr>
        <sz val="12"/>
        <rFont val="Times New Roman"/>
        <family val="1"/>
      </rPr>
      <t>18650</t>
    </r>
    <phoneticPr fontId="28" type="noConversion"/>
  </si>
  <si>
    <r>
      <rPr>
        <sz val="12"/>
        <rFont val="宋体"/>
        <family val="3"/>
        <charset val="134"/>
      </rPr>
      <t xml:space="preserve">电池设计模型
</t>
    </r>
    <r>
      <rPr>
        <sz val="12"/>
        <rFont val="Times New Roman"/>
        <family val="1"/>
      </rPr>
      <t>4680</t>
    </r>
    <phoneticPr fontId="28" type="noConversion"/>
  </si>
  <si>
    <r>
      <rPr>
        <sz val="11"/>
        <color indexed="8"/>
        <rFont val="宋体"/>
        <family val="3"/>
        <charset val="134"/>
      </rPr>
      <t>材料：放电克容量</t>
    </r>
    <phoneticPr fontId="28" type="noConversion"/>
  </si>
  <si>
    <r>
      <rPr>
        <sz val="11"/>
        <color indexed="8"/>
        <rFont val="宋体"/>
        <family val="3"/>
        <charset val="134"/>
      </rPr>
      <t>材料：充电克容量</t>
    </r>
    <phoneticPr fontId="28" type="noConversion"/>
  </si>
  <si>
    <r>
      <rPr>
        <sz val="11"/>
        <color indexed="8"/>
        <rFont val="宋体"/>
        <family val="3"/>
        <charset val="134"/>
      </rPr>
      <t>首效</t>
    </r>
    <phoneticPr fontId="28" type="noConversion"/>
  </si>
  <si>
    <r>
      <rPr>
        <sz val="11"/>
        <color rgb="FF000000"/>
        <rFont val="宋体"/>
        <family val="3"/>
        <charset val="134"/>
      </rPr>
      <t>活物质真密度</t>
    </r>
    <phoneticPr fontId="28" type="noConversion"/>
  </si>
  <si>
    <r>
      <rPr>
        <sz val="11"/>
        <color rgb="FF000000"/>
        <rFont val="宋体"/>
        <family val="3"/>
        <charset val="134"/>
      </rPr>
      <t>目标使用容量（与正极相对部分）</t>
    </r>
    <phoneticPr fontId="28" type="noConversion"/>
  </si>
  <si>
    <r>
      <rPr>
        <b/>
        <sz val="12"/>
        <color rgb="FF000000"/>
        <rFont val="宋体"/>
        <family val="3"/>
        <charset val="134"/>
      </rPr>
      <t>■正极极片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</si>
  <si>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极总长</t>
    </r>
    <phoneticPr fontId="28" type="noConversion"/>
  </si>
  <si>
    <r>
      <rPr>
        <sz val="11"/>
        <color rgb="FF000000"/>
        <rFont val="宋体"/>
        <family val="3"/>
        <charset val="134"/>
      </rPr>
      <t>自己填写，约等于</t>
    </r>
    <r>
      <rPr>
        <sz val="11"/>
        <color rgb="FF000000"/>
        <rFont val="Times New Roman"/>
        <family val="1"/>
      </rPr>
      <t>171</t>
    </r>
    <r>
      <rPr>
        <sz val="11"/>
        <color rgb="FF000000"/>
        <rFont val="宋体"/>
        <family val="3"/>
        <charset val="134"/>
      </rPr>
      <t>行数据</t>
    </r>
    <r>
      <rPr>
        <sz val="11"/>
        <color rgb="FF000000"/>
        <rFont val="Times New Roman"/>
        <family val="1"/>
      </rPr>
      <t>+2.5mm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</si>
  <si>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极焊极耳未涂布区长度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</si>
  <si>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极涂布长度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</si>
  <si>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极涂布面积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family val="3"/>
        <charset val="134"/>
      </rPr>
      <t>以单面计算</t>
    </r>
    <r>
      <rPr>
        <sz val="11"/>
        <color indexed="8"/>
        <rFont val="Times New Roman"/>
        <family val="1"/>
      </rPr>
      <t>)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</si>
  <si>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极两面涂布面密度（含箔）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</si>
  <si>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极两面涂布面密度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</si>
  <si>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极极片重量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</si>
  <si>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极极片重量</t>
    </r>
    <phoneticPr fontId="28" type="noConversion"/>
  </si>
  <si>
    <r>
      <rPr>
        <b/>
        <sz val="12"/>
        <color rgb="FF000000"/>
        <rFont val="宋体"/>
        <family val="3"/>
        <charset val="134"/>
      </rPr>
      <t>■负极极片</t>
    </r>
    <phoneticPr fontId="28" type="noConversion"/>
  </si>
  <si>
    <r>
      <rPr>
        <sz val="11"/>
        <color rgb="FF000000"/>
        <rFont val="宋体"/>
        <family val="3"/>
        <charset val="134"/>
      </rPr>
      <t>负极总长度</t>
    </r>
    <phoneticPr fontId="28" type="noConversion"/>
  </si>
  <si>
    <r>
      <rPr>
        <sz val="11"/>
        <color rgb="FF000000"/>
        <rFont val="宋体"/>
        <family val="3"/>
        <charset val="134"/>
      </rPr>
      <t>自己填写，至少比</t>
    </r>
    <r>
      <rPr>
        <sz val="11"/>
        <color rgb="FF000000"/>
        <rFont val="Times New Roman"/>
        <family val="1"/>
      </rPr>
      <t>176</t>
    </r>
    <r>
      <rPr>
        <sz val="11"/>
        <color rgb="FF000000"/>
        <rFont val="宋体"/>
        <family val="3"/>
        <charset val="134"/>
      </rPr>
      <t>行数据大</t>
    </r>
    <r>
      <rPr>
        <sz val="11"/>
        <color rgb="FF000000"/>
        <rFont val="Times New Roman"/>
        <family val="1"/>
      </rPr>
      <t>5mm</t>
    </r>
    <phoneticPr fontId="28" type="noConversion"/>
  </si>
  <si>
    <r>
      <rPr>
        <sz val="11"/>
        <color rgb="FF000000"/>
        <rFont val="宋体"/>
        <family val="3"/>
        <charset val="134"/>
      </rPr>
      <t>负极内侧焊极耳未涂布长</t>
    </r>
    <phoneticPr fontId="28" type="noConversion"/>
  </si>
  <si>
    <r>
      <rPr>
        <sz val="11"/>
        <color rgb="FF000000"/>
        <rFont val="宋体"/>
        <family val="3"/>
        <charset val="134"/>
      </rPr>
      <t>负极双面涂布长度</t>
    </r>
    <phoneticPr fontId="28" type="noConversion"/>
  </si>
  <si>
    <r>
      <rPr>
        <sz val="11"/>
        <color rgb="FF000000"/>
        <rFont val="宋体"/>
        <family val="3"/>
        <charset val="134"/>
      </rPr>
      <t>负极单面涂布长度</t>
    </r>
    <phoneticPr fontId="28" type="noConversion"/>
  </si>
  <si>
    <r>
      <rPr>
        <sz val="11"/>
        <color rgb="FF000000"/>
        <rFont val="宋体"/>
        <family val="3"/>
        <charset val="134"/>
      </rPr>
      <t>负极外侧未涂布长</t>
    </r>
    <phoneticPr fontId="28" type="noConversion"/>
  </si>
  <si>
    <r>
      <rPr>
        <sz val="11"/>
        <color rgb="FF000000"/>
        <rFont val="宋体"/>
        <family val="3"/>
        <charset val="134"/>
      </rPr>
      <t>负极双面涂布面积（以单面计）</t>
    </r>
    <phoneticPr fontId="28" type="noConversion"/>
  </si>
  <si>
    <r>
      <rPr>
        <sz val="11"/>
        <color rgb="FF000000"/>
        <rFont val="宋体"/>
        <family val="3"/>
        <charset val="134"/>
      </rPr>
      <t>负极单面涂布面积</t>
    </r>
    <phoneticPr fontId="28" type="noConversion"/>
  </si>
  <si>
    <r>
      <rPr>
        <sz val="11"/>
        <color rgb="FF000000"/>
        <rFont val="宋体"/>
        <family val="3"/>
        <charset val="134"/>
      </rPr>
      <t>两面涂布面密度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含箔</t>
    </r>
    <r>
      <rPr>
        <sz val="11"/>
        <color rgb="FF000000"/>
        <rFont val="Times New Roman"/>
        <family val="1"/>
      </rPr>
      <t>)</t>
    </r>
    <phoneticPr fontId="28" type="noConversion"/>
  </si>
  <si>
    <r>
      <rPr>
        <sz val="11"/>
        <color rgb="FF000000"/>
        <rFont val="宋体"/>
        <family val="3"/>
        <charset val="134"/>
      </rPr>
      <t>单面涂布区域面密度</t>
    </r>
    <r>
      <rPr>
        <sz val="11"/>
        <color rgb="FF000000"/>
        <rFont val="Times New Roman"/>
        <family val="1"/>
      </rPr>
      <t>(</t>
    </r>
    <r>
      <rPr>
        <sz val="11"/>
        <color rgb="FF000000"/>
        <rFont val="宋体"/>
        <family val="3"/>
        <charset val="134"/>
      </rPr>
      <t>含箔</t>
    </r>
    <r>
      <rPr>
        <sz val="11"/>
        <color rgb="FF000000"/>
        <rFont val="Times New Roman"/>
        <family val="1"/>
      </rPr>
      <t>)</t>
    </r>
    <phoneticPr fontId="28" type="noConversion"/>
  </si>
  <si>
    <r>
      <rPr>
        <sz val="11"/>
        <color rgb="FF000000"/>
        <rFont val="宋体"/>
        <family val="3"/>
        <charset val="134"/>
      </rPr>
      <t>单面涂布区域面密度</t>
    </r>
    <phoneticPr fontId="28" type="noConversion"/>
  </si>
  <si>
    <r>
      <rPr>
        <sz val="11"/>
        <color rgb="FF000000"/>
        <rFont val="宋体"/>
        <family val="3"/>
        <charset val="134"/>
      </rPr>
      <t>负</t>
    </r>
    <r>
      <rPr>
        <sz val="11"/>
        <color indexed="8"/>
        <rFont val="宋体"/>
        <family val="3"/>
        <charset val="134"/>
      </rPr>
      <t>极极片重量</t>
    </r>
    <phoneticPr fontId="28" type="noConversion"/>
  </si>
  <si>
    <r>
      <rPr>
        <b/>
        <sz val="12"/>
        <color rgb="FF000000"/>
        <rFont val="宋体"/>
        <family val="3"/>
        <charset val="134"/>
      </rPr>
      <t>■</t>
    </r>
    <r>
      <rPr>
        <b/>
        <sz val="12"/>
        <color indexed="8"/>
        <rFont val="宋体"/>
        <family val="3"/>
        <charset val="134"/>
      </rPr>
      <t>卷芯设计</t>
    </r>
    <phoneticPr fontId="28" type="noConversion"/>
  </si>
  <si>
    <r>
      <rPr>
        <sz val="11"/>
        <color rgb="FF000000"/>
        <rFont val="宋体"/>
        <family val="3"/>
        <charset val="134"/>
      </rPr>
      <t>隔膜</t>
    </r>
    <r>
      <rPr>
        <sz val="11"/>
        <color indexed="8"/>
        <rFont val="宋体"/>
        <family val="3"/>
        <charset val="134"/>
      </rPr>
      <t>宽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负极宽</t>
    </r>
    <phoneticPr fontId="28" type="noConversion"/>
  </si>
  <si>
    <r>
      <rPr>
        <sz val="11"/>
        <color indexed="8"/>
        <rFont val="宋体"/>
        <family val="3"/>
        <charset val="134"/>
      </rPr>
      <t>负极长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正极长</t>
    </r>
    <phoneticPr fontId="28" type="noConversion"/>
  </si>
  <si>
    <r>
      <rPr>
        <sz val="11"/>
        <color rgb="FF000000"/>
        <rFont val="宋体"/>
        <family val="3"/>
        <charset val="134"/>
      </rPr>
      <t>内部负极多出正极长度</t>
    </r>
    <phoneticPr fontId="28" type="noConversion"/>
  </si>
  <si>
    <r>
      <rPr>
        <sz val="11"/>
        <color rgb="FF000000"/>
        <rFont val="宋体"/>
        <family val="3"/>
        <charset val="134"/>
      </rPr>
      <t>外部负极多出正极长度</t>
    </r>
    <phoneticPr fontId="28" type="noConversion"/>
  </si>
  <si>
    <r>
      <rPr>
        <sz val="11"/>
        <color rgb="FF000000"/>
        <rFont val="宋体"/>
        <family val="3"/>
        <charset val="134"/>
      </rPr>
      <t>内部隔膜多出正极</t>
    </r>
    <r>
      <rPr>
        <sz val="11"/>
        <color indexed="8"/>
        <rFont val="宋体"/>
        <family val="3"/>
        <charset val="134"/>
      </rPr>
      <t>长度</t>
    </r>
    <phoneticPr fontId="28" type="noConversion"/>
  </si>
  <si>
    <r>
      <rPr>
        <sz val="11"/>
        <color rgb="FF000000"/>
        <rFont val="宋体"/>
        <family val="3"/>
        <charset val="134"/>
      </rPr>
      <t>外部隔膜多出正极</t>
    </r>
    <r>
      <rPr>
        <sz val="11"/>
        <color indexed="8"/>
        <rFont val="宋体"/>
        <family val="3"/>
        <charset val="134"/>
      </rPr>
      <t>长度</t>
    </r>
    <phoneticPr fontId="28" type="noConversion"/>
  </si>
  <si>
    <r>
      <rPr>
        <sz val="11"/>
        <color rgb="FF000000"/>
        <rFont val="宋体"/>
        <family val="3"/>
        <charset val="134"/>
      </rPr>
      <t>隔膜宽</t>
    </r>
    <r>
      <rPr>
        <sz val="11"/>
        <color rgb="FF000000"/>
        <rFont val="MS PMincho"/>
        <family val="1"/>
      </rPr>
      <t/>
    </r>
    <phoneticPr fontId="28" type="noConversion"/>
  </si>
  <si>
    <r>
      <rPr>
        <sz val="11"/>
        <color rgb="FF000000"/>
        <rFont val="宋体"/>
        <family val="3"/>
        <charset val="134"/>
      </rPr>
      <t>内核去除的圈数</t>
    </r>
    <phoneticPr fontId="28" type="noConversion"/>
  </si>
  <si>
    <r>
      <rPr>
        <sz val="11"/>
        <color rgb="FF000000"/>
        <rFont val="宋体"/>
        <family val="3"/>
        <charset val="134"/>
      </rPr>
      <t>圈</t>
    </r>
    <phoneticPr fontId="28" type="noConversion"/>
  </si>
  <si>
    <r>
      <rPr>
        <sz val="11"/>
        <color rgb="FF000000"/>
        <rFont val="宋体"/>
        <family val="3"/>
        <charset val="134"/>
      </rPr>
      <t>内部空间直径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卷芯直径</t>
    </r>
    <phoneticPr fontId="28" type="noConversion"/>
  </si>
  <si>
    <r>
      <rPr>
        <sz val="11"/>
        <color rgb="FF000000"/>
        <rFont val="宋体"/>
        <family val="3"/>
        <charset val="134"/>
      </rPr>
      <t>卷芯估算直径</t>
    </r>
    <phoneticPr fontId="28" type="noConversion"/>
  </si>
  <si>
    <r>
      <rPr>
        <sz val="11"/>
        <color rgb="FF000000"/>
        <rFont val="宋体"/>
        <family val="3"/>
        <charset val="134"/>
      </rPr>
      <t>包含内核的正极卷绕圈数</t>
    </r>
    <phoneticPr fontId="28" type="noConversion"/>
  </si>
  <si>
    <r>
      <rPr>
        <sz val="11"/>
        <color rgb="FF000000"/>
        <rFont val="宋体"/>
        <family val="3"/>
        <charset val="134"/>
      </rPr>
      <t>圈</t>
    </r>
    <phoneticPr fontId="28" type="noConversion"/>
  </si>
  <si>
    <r>
      <rPr>
        <sz val="11"/>
        <color rgb="FF000000"/>
        <rFont val="宋体"/>
        <family val="3"/>
        <charset val="134"/>
      </rPr>
      <t>正极实际卷绕圈数</t>
    </r>
    <phoneticPr fontId="28" type="noConversion"/>
  </si>
  <si>
    <r>
      <rPr>
        <sz val="11"/>
        <color rgb="FF000000"/>
        <rFont val="宋体"/>
        <family val="3"/>
        <charset val="134"/>
      </rPr>
      <t>卷芯内核螺线长度</t>
    </r>
    <phoneticPr fontId="28" type="noConversion"/>
  </si>
  <si>
    <r>
      <rPr>
        <sz val="11"/>
        <color rgb="FF000000"/>
        <rFont val="宋体"/>
        <family val="3"/>
        <charset val="134"/>
      </rPr>
      <t>包含内核的螺线长度</t>
    </r>
    <phoneticPr fontId="28" type="noConversion"/>
  </si>
  <si>
    <r>
      <rPr>
        <sz val="11"/>
        <color rgb="FF000000"/>
        <rFont val="宋体"/>
        <family val="3"/>
        <charset val="134"/>
      </rPr>
      <t>正极极片的理论长度</t>
    </r>
    <phoneticPr fontId="28" type="noConversion"/>
  </si>
  <si>
    <r>
      <rPr>
        <sz val="11"/>
        <color rgb="FF000000"/>
        <rFont val="宋体"/>
        <family val="3"/>
        <charset val="134"/>
      </rPr>
      <t>隔膜全</t>
    </r>
    <r>
      <rPr>
        <sz val="11"/>
        <color indexed="8"/>
        <rFont val="宋体"/>
        <family val="3"/>
        <charset val="134"/>
      </rPr>
      <t>长</t>
    </r>
    <phoneticPr fontId="28" type="noConversion"/>
  </si>
  <si>
    <r>
      <rPr>
        <sz val="11"/>
        <color rgb="FF000000"/>
        <rFont val="宋体"/>
        <family val="3"/>
        <charset val="134"/>
      </rPr>
      <t>电池组成基本单元厚度</t>
    </r>
    <r>
      <rPr>
        <sz val="11"/>
        <color rgb="FF000000"/>
        <rFont val="Times New Roman"/>
        <family val="1"/>
      </rPr>
      <t>d</t>
    </r>
    <r>
      <rPr>
        <vertAlign val="subscript"/>
        <sz val="11"/>
        <color rgb="FF000000"/>
        <rFont val="Times New Roman"/>
        <family val="1"/>
      </rPr>
      <t>ascs</t>
    </r>
    <r>
      <rPr>
        <sz val="11"/>
        <color rgb="FF000000"/>
        <rFont val="Times New Roman"/>
        <family val="1"/>
      </rPr>
      <t>=</t>
    </r>
    <r>
      <rPr>
        <sz val="11"/>
        <color rgb="FF000000"/>
        <rFont val="宋体"/>
        <family val="3"/>
        <charset val="134"/>
      </rPr>
      <t>正极极片厚度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宋体"/>
        <family val="3"/>
        <charset val="134"/>
      </rPr>
      <t>负极极片厚度</t>
    </r>
    <r>
      <rPr>
        <sz val="11"/>
        <color rgb="FF000000"/>
        <rFont val="Times New Roman"/>
        <family val="1"/>
      </rPr>
      <t>+</t>
    </r>
    <r>
      <rPr>
        <sz val="11"/>
        <color rgb="FF000000"/>
        <rFont val="宋体"/>
        <family val="3"/>
        <charset val="134"/>
      </rPr>
      <t>隔膜厚度</t>
    </r>
    <r>
      <rPr>
        <sz val="11"/>
        <color rgb="FF000000"/>
        <rFont val="Times New Roman"/>
        <family val="1"/>
      </rPr>
      <t>*2</t>
    </r>
    <phoneticPr fontId="28" type="noConversion"/>
  </si>
  <si>
    <r>
      <rPr>
        <sz val="11"/>
        <color rgb="FF000000"/>
        <rFont val="宋体"/>
        <family val="3"/>
        <charset val="134"/>
      </rPr>
      <t>螺线极坐标参数</t>
    </r>
    <r>
      <rPr>
        <sz val="11"/>
        <color rgb="FF000000"/>
        <rFont val="Times New Roman"/>
        <family val="1"/>
      </rPr>
      <t>a=d</t>
    </r>
    <r>
      <rPr>
        <vertAlign val="subscript"/>
        <sz val="11"/>
        <color rgb="FF000000"/>
        <rFont val="Times New Roman"/>
        <family val="1"/>
      </rPr>
      <t>ascs</t>
    </r>
    <r>
      <rPr>
        <sz val="11"/>
        <color rgb="FF000000"/>
        <rFont val="Times New Roman"/>
        <family val="1"/>
      </rPr>
      <t>/2π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</si>
  <si>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极圈数</t>
    </r>
    <phoneticPr fontId="28" type="noConversion"/>
  </si>
  <si>
    <r>
      <rPr>
        <sz val="11"/>
        <color rgb="FF000000"/>
        <rFont val="宋体"/>
        <family val="3"/>
        <charset val="134"/>
      </rPr>
      <t>圈</t>
    </r>
    <phoneticPr fontId="28" type="noConversion"/>
  </si>
  <si>
    <r>
      <rPr>
        <sz val="11"/>
        <color rgb="FF000000"/>
        <rFont val="宋体"/>
        <family val="3"/>
        <charset val="134"/>
      </rPr>
      <t>负极圈数</t>
    </r>
    <phoneticPr fontId="28" type="noConversion"/>
  </si>
  <si>
    <r>
      <rPr>
        <sz val="11"/>
        <color rgb="FF000000"/>
        <rFont val="宋体"/>
        <family val="3"/>
        <charset val="134"/>
      </rPr>
      <t>隔膜圈数</t>
    </r>
    <phoneticPr fontId="28" type="noConversion"/>
  </si>
  <si>
    <r>
      <rPr>
        <sz val="11"/>
        <color rgb="FF000000"/>
        <rFont val="宋体"/>
        <family val="3"/>
        <charset val="134"/>
      </rPr>
      <t>卷芯直径</t>
    </r>
    <phoneticPr fontId="28" type="noConversion"/>
  </si>
  <si>
    <r>
      <rPr>
        <sz val="11"/>
        <color rgb="FF000000"/>
        <rFont val="宋体"/>
        <family val="3"/>
        <charset val="134"/>
      </rPr>
      <t>卷芯芯高度（不含极耳）</t>
    </r>
    <phoneticPr fontId="28" type="noConversion"/>
  </si>
  <si>
    <r>
      <rPr>
        <sz val="11"/>
        <color rgb="FF000000"/>
        <rFont val="宋体"/>
        <family val="3"/>
        <charset val="134"/>
      </rPr>
      <t>直径方向的富余量</t>
    </r>
    <phoneticPr fontId="28" type="noConversion"/>
  </si>
  <si>
    <r>
      <rPr>
        <sz val="11"/>
        <color rgb="FF000000"/>
        <rFont val="宋体"/>
        <family val="3"/>
        <charset val="134"/>
      </rPr>
      <t>直径方向的富余度</t>
    </r>
    <phoneticPr fontId="28" type="noConversion"/>
  </si>
  <si>
    <r>
      <t>SOC100%</t>
    </r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极涂层膨胀率</t>
    </r>
    <phoneticPr fontId="28" type="noConversion"/>
  </si>
  <si>
    <r>
      <rPr>
        <sz val="11"/>
        <color rgb="FF000000"/>
        <rFont val="宋体"/>
        <family val="3"/>
        <charset val="134"/>
      </rPr>
      <t>卷芯体积</t>
    </r>
    <phoneticPr fontId="28" type="noConversion"/>
  </si>
  <si>
    <r>
      <rPr>
        <sz val="11"/>
        <color rgb="FF000000"/>
        <rFont val="宋体"/>
        <family val="3"/>
        <charset val="134"/>
      </rPr>
      <t>卷芯重量（不含极耳）</t>
    </r>
    <phoneticPr fontId="28" type="noConversion"/>
  </si>
  <si>
    <r>
      <rPr>
        <sz val="11"/>
        <color rgb="FF000000"/>
        <rFont val="宋体"/>
        <family val="3"/>
        <charset val="134"/>
      </rPr>
      <t>极片和隔膜全部注液空</t>
    </r>
    <r>
      <rPr>
        <sz val="11"/>
        <color indexed="8"/>
        <rFont val="宋体"/>
        <family val="3"/>
        <charset val="134"/>
      </rPr>
      <t>间</t>
    </r>
    <phoneticPr fontId="28" type="noConversion"/>
  </si>
  <si>
    <r>
      <rPr>
        <sz val="11"/>
        <color rgb="FF000000"/>
        <rFont val="宋体"/>
        <family val="3"/>
        <charset val="134"/>
      </rPr>
      <t>孔隙内的注液量</t>
    </r>
    <phoneticPr fontId="28" type="noConversion"/>
  </si>
  <si>
    <r>
      <rPr>
        <sz val="11"/>
        <color rgb="FF000000"/>
        <rFont val="宋体"/>
        <family val="3"/>
        <charset val="134"/>
      </rPr>
      <t>实际注液量</t>
    </r>
    <phoneticPr fontId="28" type="noConversion"/>
  </si>
  <si>
    <r>
      <rPr>
        <sz val="11"/>
        <color indexed="8"/>
        <rFont val="宋体"/>
        <family val="3"/>
        <charset val="134"/>
      </rPr>
      <t>实际注液量</t>
    </r>
    <r>
      <rPr>
        <sz val="11"/>
        <color indexed="8"/>
        <rFont val="Times New Roman"/>
        <family val="1"/>
      </rPr>
      <t>/</t>
    </r>
    <r>
      <rPr>
        <sz val="11"/>
        <color indexed="8"/>
        <rFont val="宋体"/>
        <family val="3"/>
        <charset val="134"/>
      </rPr>
      <t>孔隙总体积注液量</t>
    </r>
    <phoneticPr fontId="28" type="noConversion"/>
  </si>
  <si>
    <r>
      <rPr>
        <b/>
        <sz val="12"/>
        <color rgb="FF000000"/>
        <rFont val="宋体"/>
        <family val="3"/>
        <charset val="134"/>
      </rPr>
      <t>■</t>
    </r>
    <r>
      <rPr>
        <b/>
        <sz val="12"/>
        <color indexed="8"/>
        <rFont val="宋体"/>
        <family val="3"/>
        <charset val="134"/>
      </rPr>
      <t>壳体</t>
    </r>
    <r>
      <rPr>
        <b/>
        <sz val="12"/>
        <color indexed="8"/>
        <rFont val="Times New Roman"/>
        <family val="1"/>
      </rPr>
      <t>+</t>
    </r>
    <r>
      <rPr>
        <b/>
        <sz val="12"/>
        <color indexed="8"/>
        <rFont val="宋体"/>
        <family val="3"/>
        <charset val="134"/>
      </rPr>
      <t>零部件</t>
    </r>
    <phoneticPr fontId="28" type="noConversion"/>
  </si>
  <si>
    <r>
      <rPr>
        <sz val="11"/>
        <color indexed="8"/>
        <rFont val="宋体"/>
        <family val="3"/>
        <charset val="134"/>
      </rPr>
      <t>电池直径</t>
    </r>
    <phoneticPr fontId="28" type="noConversion"/>
  </si>
  <si>
    <r>
      <rPr>
        <sz val="11"/>
        <color indexed="8"/>
        <rFont val="宋体"/>
        <family val="3"/>
        <charset val="134"/>
      </rPr>
      <t>电池高度</t>
    </r>
    <phoneticPr fontId="28" type="noConversion"/>
  </si>
  <si>
    <r>
      <rPr>
        <sz val="11"/>
        <color indexed="8"/>
        <rFont val="宋体"/>
        <family val="3"/>
        <charset val="134"/>
      </rPr>
      <t>壳体厚度</t>
    </r>
    <phoneticPr fontId="28" type="noConversion"/>
  </si>
  <si>
    <r>
      <rPr>
        <sz val="11"/>
        <color indexed="8"/>
        <rFont val="宋体"/>
        <family val="3"/>
        <charset val="134"/>
      </rPr>
      <t>电池体积</t>
    </r>
    <phoneticPr fontId="28" type="noConversion"/>
  </si>
  <si>
    <r>
      <rPr>
        <sz val="11"/>
        <color indexed="8"/>
        <rFont val="宋体"/>
        <family val="3"/>
        <charset val="134"/>
      </rPr>
      <t>壳体重量</t>
    </r>
    <phoneticPr fontId="28" type="noConversion"/>
  </si>
  <si>
    <r>
      <rPr>
        <sz val="11"/>
        <color rgb="FF000000"/>
        <rFont val="宋体"/>
        <family val="3"/>
        <charset val="134"/>
      </rPr>
      <t>壳体单位面积质量</t>
    </r>
    <phoneticPr fontId="28" type="noConversion"/>
  </si>
  <si>
    <r>
      <rPr>
        <sz val="11"/>
        <color rgb="FF000000"/>
        <rFont val="宋体"/>
        <family val="3"/>
        <charset val="134"/>
      </rPr>
      <t>壳体密度</t>
    </r>
    <phoneticPr fontId="28" type="noConversion"/>
  </si>
  <si>
    <r>
      <rPr>
        <sz val="11"/>
        <color rgb="FF000000"/>
        <rFont val="宋体"/>
        <family val="3"/>
        <charset val="134"/>
      </rPr>
      <t>正极圆片绝缘垫直径</t>
    </r>
    <phoneticPr fontId="28" type="noConversion"/>
  </si>
  <si>
    <r>
      <rPr>
        <sz val="11"/>
        <color rgb="FF000000"/>
        <rFont val="宋体"/>
        <family val="3"/>
        <charset val="134"/>
      </rPr>
      <t>正极圆片绝缘垫质量</t>
    </r>
    <r>
      <rPr>
        <sz val="11"/>
        <color rgb="FF000000"/>
        <rFont val="Times New Roman"/>
        <family val="1"/>
      </rPr>
      <t xml:space="preserve"> 219μm</t>
    </r>
    <phoneticPr fontId="28" type="noConversion"/>
  </si>
  <si>
    <r>
      <rPr>
        <sz val="11"/>
        <color rgb="FF000000"/>
        <rFont val="宋体"/>
        <family val="3"/>
        <charset val="134"/>
      </rPr>
      <t>正极绝缘片单位面积质量</t>
    </r>
    <phoneticPr fontId="28" type="noConversion"/>
  </si>
  <si>
    <r>
      <rPr>
        <sz val="11"/>
        <color rgb="FF000000"/>
        <rFont val="宋体"/>
        <family val="3"/>
        <charset val="134"/>
      </rPr>
      <t>负极圆片绝缘垫直径</t>
    </r>
    <phoneticPr fontId="28" type="noConversion"/>
  </si>
  <si>
    <r>
      <rPr>
        <sz val="11"/>
        <color rgb="FF000000"/>
        <rFont val="宋体"/>
        <family val="3"/>
        <charset val="134"/>
      </rPr>
      <t>负极圆片绝缘垫质量</t>
    </r>
    <r>
      <rPr>
        <sz val="11"/>
        <color rgb="FF000000"/>
        <rFont val="Times New Roman"/>
        <family val="1"/>
      </rPr>
      <t xml:space="preserve"> 329μm</t>
    </r>
    <phoneticPr fontId="28" type="noConversion"/>
  </si>
  <si>
    <r>
      <rPr>
        <sz val="11"/>
        <color rgb="FF000000"/>
        <rFont val="宋体"/>
        <family val="3"/>
        <charset val="134"/>
      </rPr>
      <t>负极绝缘片单位面积质量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</si>
  <si>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极极耳密度</t>
    </r>
    <r>
      <rPr>
        <sz val="11"/>
        <color indexed="8"/>
        <rFont val="Times New Roman"/>
        <family val="1"/>
      </rPr>
      <t>(Al)</t>
    </r>
    <phoneticPr fontId="28" type="noConversion"/>
  </si>
  <si>
    <r>
      <rPr>
        <sz val="11"/>
        <color rgb="FF000000"/>
        <rFont val="宋体"/>
        <family val="3"/>
        <charset val="134"/>
      </rPr>
      <t>负极</t>
    </r>
    <r>
      <rPr>
        <sz val="11"/>
        <color indexed="8"/>
        <rFont val="宋体"/>
        <family val="3"/>
        <charset val="134"/>
      </rPr>
      <t>极耳密度（</t>
    </r>
    <r>
      <rPr>
        <sz val="11"/>
        <color indexed="8"/>
        <rFont val="Times New Roman"/>
        <family val="1"/>
      </rPr>
      <t>Cu/Ni</t>
    </r>
    <r>
      <rPr>
        <sz val="11"/>
        <color indexed="8"/>
        <rFont val="宋体"/>
        <family val="3"/>
        <charset val="134"/>
      </rPr>
      <t>）</t>
    </r>
    <phoneticPr fontId="28" type="noConversion"/>
  </si>
  <si>
    <r>
      <rPr>
        <sz val="11"/>
        <color rgb="FF000000"/>
        <rFont val="宋体"/>
        <family val="3"/>
        <charset val="134"/>
      </rPr>
      <t>顶盖整体厚度</t>
    </r>
    <phoneticPr fontId="28" type="noConversion"/>
  </si>
  <si>
    <r>
      <rPr>
        <sz val="11"/>
        <color rgb="FF000000"/>
        <rFont val="宋体"/>
        <family val="3"/>
        <charset val="134"/>
      </rPr>
      <t>顶盖重量</t>
    </r>
    <phoneticPr fontId="28" type="noConversion"/>
  </si>
  <si>
    <r>
      <rPr>
        <sz val="11"/>
        <color rgb="FF000000"/>
        <rFont val="宋体"/>
        <family val="3"/>
        <charset val="134"/>
      </rPr>
      <t>顶盖单位面积重量</t>
    </r>
    <phoneticPr fontId="28" type="noConversion"/>
  </si>
  <si>
    <r>
      <rPr>
        <sz val="11"/>
        <color rgb="FF000000"/>
        <rFont val="宋体"/>
        <family val="3"/>
        <charset val="134"/>
      </rPr>
      <t>内部空</t>
    </r>
    <r>
      <rPr>
        <sz val="11"/>
        <color indexed="8"/>
        <rFont val="宋体"/>
        <family val="3"/>
        <charset val="134"/>
      </rPr>
      <t>间</t>
    </r>
    <r>
      <rPr>
        <sz val="11"/>
        <color indexed="8"/>
        <rFont val="Times New Roman"/>
        <family val="1"/>
      </rPr>
      <t>-</t>
    </r>
    <r>
      <rPr>
        <sz val="11"/>
        <color indexed="8"/>
        <rFont val="宋体"/>
        <family val="3"/>
        <charset val="134"/>
      </rPr>
      <t>直径</t>
    </r>
    <phoneticPr fontId="28" type="noConversion"/>
  </si>
  <si>
    <r>
      <rPr>
        <b/>
        <sz val="12"/>
        <color rgb="FF000000"/>
        <rFont val="宋体"/>
        <family val="3"/>
        <charset val="134"/>
      </rPr>
      <t>■</t>
    </r>
    <r>
      <rPr>
        <b/>
        <sz val="12"/>
        <color indexed="8"/>
        <rFont val="宋体"/>
        <family val="3"/>
        <charset val="134"/>
      </rPr>
      <t>电池性能</t>
    </r>
    <phoneticPr fontId="28" type="noConversion"/>
  </si>
  <si>
    <r>
      <rPr>
        <sz val="11"/>
        <color rgb="FF000000"/>
        <rFont val="宋体"/>
        <family val="3"/>
        <charset val="134"/>
      </rPr>
      <t>负极极耳</t>
    </r>
    <r>
      <rPr>
        <sz val="11"/>
        <color rgb="FF000000"/>
        <rFont val="Times New Roman"/>
        <family val="1"/>
      </rPr>
      <t>1C</t>
    </r>
    <r>
      <rPr>
        <sz val="11"/>
        <color rgb="FF000000"/>
        <rFont val="宋体"/>
        <family val="3"/>
        <charset val="134"/>
      </rPr>
      <t>电流密度</t>
    </r>
    <phoneticPr fontId="28" type="noConversion"/>
  </si>
  <si>
    <r>
      <rPr>
        <sz val="11"/>
        <color rgb="FF000000"/>
        <rFont val="宋体"/>
        <family val="3"/>
        <charset val="134"/>
      </rPr>
      <t>正极极耳</t>
    </r>
    <r>
      <rPr>
        <sz val="11"/>
        <color rgb="FF000000"/>
        <rFont val="Times New Roman"/>
        <family val="1"/>
      </rPr>
      <t>1C</t>
    </r>
    <r>
      <rPr>
        <sz val="11"/>
        <color rgb="FF000000"/>
        <rFont val="宋体"/>
        <family val="3"/>
        <charset val="134"/>
      </rPr>
      <t>电流密度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</si>
  <si>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极第一次充电容量</t>
    </r>
    <phoneticPr fontId="28" type="noConversion"/>
  </si>
  <si>
    <r>
      <rPr>
        <sz val="11"/>
        <color rgb="FF000000"/>
        <rFont val="宋体"/>
        <family val="3"/>
        <charset val="134"/>
      </rPr>
      <t>全部容量的</t>
    </r>
    <r>
      <rPr>
        <sz val="11"/>
        <color rgb="FF000000"/>
        <rFont val="Times New Roman"/>
        <family val="1"/>
      </rPr>
      <t>N/P</t>
    </r>
    <phoneticPr fontId="28" type="noConversion"/>
  </si>
  <si>
    <t>设定N/P</t>
    <phoneticPr fontId="28" type="noConversion"/>
  </si>
  <si>
    <t>石墨/Si</t>
    <phoneticPr fontId="28" type="noConversion"/>
  </si>
  <si>
    <t xml:space="preserve"> </t>
    <phoneticPr fontId="28" type="noConversion"/>
  </si>
  <si>
    <t>卷芯内核直径+隔膜和负极先卷厚度</t>
    <phoneticPr fontId="28" type="noConversion"/>
  </si>
  <si>
    <t>圈</t>
    <phoneticPr fontId="28" type="noConversion"/>
  </si>
  <si>
    <t>面密度变化</t>
    <phoneticPr fontId="28" type="noConversion"/>
  </si>
  <si>
    <t>正极压实密度</t>
    <phoneticPr fontId="28" type="noConversion"/>
  </si>
  <si>
    <t>24.2mg/cm2</t>
    <phoneticPr fontId="28" type="noConversion"/>
  </si>
  <si>
    <r>
      <t>36.3</t>
    </r>
    <r>
      <rPr>
        <sz val="12"/>
        <rFont val="宋体"/>
        <family val="3"/>
        <charset val="134"/>
      </rPr>
      <t>mg/cm2</t>
    </r>
    <phoneticPr fontId="28" type="noConversion"/>
  </si>
  <si>
    <r>
      <t>48.4</t>
    </r>
    <r>
      <rPr>
        <sz val="12"/>
        <rFont val="宋体"/>
        <family val="3"/>
        <charset val="134"/>
      </rPr>
      <t>mg/cm2</t>
    </r>
    <phoneticPr fontId="28" type="noConversion"/>
  </si>
  <si>
    <r>
      <t>60.5</t>
    </r>
    <r>
      <rPr>
        <sz val="12"/>
        <rFont val="宋体"/>
        <family val="3"/>
        <charset val="134"/>
      </rPr>
      <t>mg/cm2</t>
    </r>
    <phoneticPr fontId="28" type="noConversion"/>
  </si>
  <si>
    <r>
      <t>72.6</t>
    </r>
    <r>
      <rPr>
        <sz val="12"/>
        <rFont val="宋体"/>
        <family val="3"/>
        <charset val="134"/>
      </rPr>
      <t>mg/cm2</t>
    </r>
    <phoneticPr fontId="28" type="noConversion"/>
  </si>
  <si>
    <r>
      <t>3.1</t>
    </r>
    <r>
      <rPr>
        <sz val="12"/>
        <rFont val="宋体"/>
        <family val="3"/>
        <charset val="134"/>
      </rPr>
      <t>6g/cm3</t>
    </r>
    <phoneticPr fontId="28" type="noConversion"/>
  </si>
  <si>
    <r>
      <t>3.3</t>
    </r>
    <r>
      <rPr>
        <sz val="12"/>
        <rFont val="宋体"/>
        <family val="3"/>
        <charset val="134"/>
      </rPr>
      <t>7g/cm3</t>
    </r>
    <phoneticPr fontId="28" type="noConversion"/>
  </si>
  <si>
    <r>
      <t>3.5</t>
    </r>
    <r>
      <rPr>
        <sz val="12"/>
        <rFont val="宋体"/>
        <family val="3"/>
        <charset val="134"/>
      </rPr>
      <t>8g/cm3</t>
    </r>
    <phoneticPr fontId="28" type="noConversion"/>
  </si>
  <si>
    <r>
      <t>3.7</t>
    </r>
    <r>
      <rPr>
        <sz val="12"/>
        <rFont val="宋体"/>
        <family val="3"/>
        <charset val="134"/>
      </rPr>
      <t>8g/cm3</t>
    </r>
    <phoneticPr fontId="28" type="noConversion"/>
  </si>
  <si>
    <r>
      <t>3.89</t>
    </r>
    <r>
      <rPr>
        <sz val="12"/>
        <rFont val="宋体"/>
        <family val="3"/>
        <charset val="134"/>
      </rPr>
      <t>g/cm3</t>
    </r>
    <phoneticPr fontId="28" type="noConversion"/>
  </si>
  <si>
    <r>
      <rPr>
        <sz val="12"/>
        <rFont val="宋体"/>
        <family val="3"/>
        <charset val="134"/>
      </rPr>
      <t xml:space="preserve">无极耳设计
</t>
    </r>
    <r>
      <rPr>
        <sz val="12"/>
        <rFont val="Times New Roman"/>
        <family val="1"/>
      </rPr>
      <t>4680</t>
    </r>
    <phoneticPr fontId="28" type="noConversion"/>
  </si>
  <si>
    <t>正极留白宽度</t>
    <phoneticPr fontId="28" type="noConversion"/>
  </si>
  <si>
    <t>留白区宽度</t>
    <phoneticPr fontId="28" type="noConversion"/>
  </si>
  <si>
    <r>
      <t>负</t>
    </r>
    <r>
      <rPr>
        <sz val="11"/>
        <color indexed="8"/>
        <rFont val="宋体"/>
        <family val="3"/>
        <charset val="134"/>
      </rPr>
      <t>极极片重量</t>
    </r>
    <phoneticPr fontId="28" type="noConversion"/>
  </si>
  <si>
    <r>
      <t>正极极耳厚度</t>
    </r>
    <r>
      <rPr>
        <sz val="11"/>
        <color rgb="FFFF0000"/>
        <rFont val="宋体"/>
        <family val="3"/>
        <charset val="134"/>
      </rPr>
      <t>或集流盘厚度</t>
    </r>
    <phoneticPr fontId="28" type="noConversion"/>
  </si>
  <si>
    <r>
      <t>正极极耳长度</t>
    </r>
    <r>
      <rPr>
        <sz val="11"/>
        <color rgb="FFFF0000"/>
        <rFont val="宋体"/>
        <family val="3"/>
        <charset val="134"/>
      </rPr>
      <t>或集流盘直径</t>
    </r>
    <phoneticPr fontId="28" type="noConversion"/>
  </si>
  <si>
    <r>
      <t>负极极耳厚度</t>
    </r>
    <r>
      <rPr>
        <sz val="11"/>
        <color rgb="FFFF0000"/>
        <rFont val="宋体"/>
        <family val="3"/>
        <charset val="134"/>
      </rPr>
      <t>或集流盘厚度</t>
    </r>
    <phoneticPr fontId="28" type="noConversion"/>
  </si>
  <si>
    <r>
      <t>负极极耳高度</t>
    </r>
    <r>
      <rPr>
        <sz val="11"/>
        <color rgb="FFFF0000"/>
        <rFont val="宋体"/>
        <family val="3"/>
        <charset val="134"/>
      </rPr>
      <t>或集流盘直径</t>
    </r>
    <phoneticPr fontId="28" type="noConversion"/>
  </si>
  <si>
    <r>
      <rPr>
        <sz val="11"/>
        <color rgb="FF000000"/>
        <rFont val="宋体"/>
        <family val="3"/>
        <charset val="134"/>
      </rPr>
      <t>正</t>
    </r>
    <r>
      <rPr>
        <sz val="11"/>
        <color indexed="8"/>
        <rFont val="宋体"/>
        <family val="3"/>
        <charset val="134"/>
      </rPr>
      <t>极放电容量</t>
    </r>
    <phoneticPr fontId="28" type="noConversion"/>
  </si>
  <si>
    <t>g/cc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</si>
</sst>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.000_ "/>
    <numFmt numFmtId="177" formatCode="0.00_ "/>
    <numFmt numFmtId="178" formatCode="0.0_);[Red]\(0.0\)"/>
    <numFmt numFmtId="179" formatCode="0_ "/>
    <numFmt numFmtId="180" formatCode="0_);[Red]\(0\)"/>
    <numFmt numFmtId="181" formatCode="0.0000_ "/>
    <numFmt numFmtId="182" formatCode="0.0_ "/>
    <numFmt numFmtId="183" formatCode="0.0"/>
    <numFmt numFmtId="184" formatCode="0.00_);[Red]\(0.00\)"/>
    <numFmt numFmtId="185" formatCode="0.000"/>
    <numFmt numFmtId="186" formatCode="0.0%"/>
    <numFmt numFmtId="187" formatCode="0.000_);[Red]\(0.000\)"/>
    <numFmt numFmtId="188" formatCode="0.0000_);[Red]\(0.0000\)"/>
  </numFmts>
  <fonts count="43">
    <font>
      <sz val="12"/>
      <name val="宋体"/>
      <charset val="134"/>
    </font>
    <font>
      <sz val="12"/>
      <name val="Times New Roman"/>
      <family val="1"/>
    </font>
    <font>
      <b/>
      <sz val="12"/>
      <name val="宋体"/>
      <family val="3"/>
      <charset val="134"/>
    </font>
    <font>
      <sz val="11"/>
      <color rgb="FF000000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MS PMincho"/>
      <family val="1"/>
    </font>
    <font>
      <sz val="11"/>
      <color rgb="FF000000"/>
      <name val="宋体"/>
      <family val="3"/>
      <charset val="134"/>
    </font>
    <font>
      <b/>
      <sz val="12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6"/>
      <name val="ＭＳ Ｐゴシック"/>
      <family val="2"/>
    </font>
    <font>
      <sz val="11"/>
      <color indexed="20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28"/>
      <name val="Times New Roman"/>
      <family val="1"/>
    </font>
    <font>
      <b/>
      <sz val="28"/>
      <name val="宋体"/>
      <family val="3"/>
      <charset val="134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1"/>
      <name val="Times New Roman"/>
      <family val="1"/>
    </font>
    <font>
      <b/>
      <sz val="12"/>
      <color indexed="8"/>
      <name val="Times New Roman"/>
      <family val="1"/>
    </font>
    <font>
      <b/>
      <sz val="11"/>
      <color rgb="FF1F497D"/>
      <name val="Times New Roman"/>
      <family val="1"/>
    </font>
    <font>
      <vertAlign val="subscript"/>
      <sz val="11"/>
      <color rgb="FF000000"/>
      <name val="Times New Roman"/>
      <family val="1"/>
    </font>
    <font>
      <sz val="11"/>
      <color rgb="FFFF0000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9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medium">
        <color rgb="FF000000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/>
      <diagonal/>
    </border>
    <border>
      <left style="medium">
        <color rgb="FF000000"/>
      </left>
      <right style="medium">
        <color auto="1"/>
      </right>
      <top style="thin">
        <color rgb="FF000000"/>
      </top>
      <bottom/>
      <diagonal/>
    </border>
    <border>
      <left style="medium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3">
    <xf numFmtId="0" fontId="0" fillId="0" borderId="0">
      <alignment vertical="center"/>
    </xf>
    <xf numFmtId="9" fontId="9" fillId="0" borderId="0" applyFont="0" applyFill="0" applyBorder="0" applyAlignment="0" applyProtection="0"/>
    <xf numFmtId="0" fontId="12" fillId="10" borderId="7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17" fillId="0" borderId="77" applyNumberFormat="0" applyFill="0" applyAlignment="0" applyProtection="0">
      <alignment vertical="center"/>
    </xf>
    <xf numFmtId="0" fontId="18" fillId="10" borderId="78" applyNumberFormat="0" applyAlignment="0" applyProtection="0">
      <alignment vertical="center"/>
    </xf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1" fillId="13" borderId="0" applyNumberFormat="0" applyBorder="0" applyAlignment="0" applyProtection="0">
      <alignment vertical="center"/>
    </xf>
    <xf numFmtId="0" fontId="23" fillId="0" borderId="81" applyNumberFormat="0" applyFill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9" fillId="0" borderId="7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/>
    <xf numFmtId="0" fontId="25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0" borderId="0"/>
    <xf numFmtId="0" fontId="9" fillId="0" borderId="0"/>
    <xf numFmtId="0" fontId="16" fillId="11" borderId="0" applyNumberFormat="0" applyBorder="0" applyAlignment="0" applyProtection="0">
      <alignment vertical="center"/>
    </xf>
    <xf numFmtId="0" fontId="15" fillId="0" borderId="76" applyNumberFormat="0" applyFill="0" applyAlignment="0" applyProtection="0">
      <alignment vertical="center"/>
    </xf>
    <xf numFmtId="0" fontId="20" fillId="12" borderId="80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75" applyNumberFormat="0" applyFill="0" applyAlignment="0" applyProtection="0">
      <alignment vertical="center"/>
    </xf>
    <xf numFmtId="0" fontId="26" fillId="15" borderId="74" applyNumberFormat="0" applyAlignment="0" applyProtection="0">
      <alignment vertical="center"/>
    </xf>
    <xf numFmtId="0" fontId="9" fillId="16" borderId="82" applyNumberFormat="0" applyFont="0" applyAlignment="0" applyProtection="0">
      <alignment vertical="center"/>
    </xf>
  </cellStyleXfs>
  <cellXfs count="30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Continuous" vertical="center"/>
    </xf>
    <xf numFmtId="0" fontId="3" fillId="0" borderId="17" xfId="0" applyFont="1" applyFill="1" applyBorder="1" applyAlignment="1">
      <alignment horizontal="left" wrapText="1"/>
    </xf>
    <xf numFmtId="0" fontId="3" fillId="0" borderId="18" xfId="0" applyFont="1" applyBorder="1" applyAlignment="1">
      <alignment horizontal="center" wrapText="1"/>
    </xf>
    <xf numFmtId="0" fontId="8" fillId="3" borderId="19" xfId="0" applyFont="1" applyFill="1" applyBorder="1" applyAlignment="1">
      <alignment horizontal="center" wrapText="1"/>
    </xf>
    <xf numFmtId="0" fontId="3" fillId="4" borderId="20" xfId="0" applyFont="1" applyFill="1" applyBorder="1" applyAlignment="1">
      <alignment horizontal="center" wrapText="1"/>
    </xf>
    <xf numFmtId="0" fontId="3" fillId="4" borderId="22" xfId="0" applyFont="1" applyFill="1" applyBorder="1" applyAlignment="1">
      <alignment horizontal="center" wrapText="1"/>
    </xf>
    <xf numFmtId="183" fontId="3" fillId="6" borderId="23" xfId="0" applyNumberFormat="1" applyFont="1" applyFill="1" applyBorder="1" applyAlignment="1">
      <alignment horizontal="center" wrapText="1"/>
    </xf>
    <xf numFmtId="1" fontId="8" fillId="3" borderId="23" xfId="0" applyNumberFormat="1" applyFont="1" applyFill="1" applyBorder="1" applyAlignment="1">
      <alignment horizontal="center" wrapText="1"/>
    </xf>
    <xf numFmtId="0" fontId="3" fillId="0" borderId="21" xfId="0" applyFont="1" applyBorder="1" applyAlignment="1">
      <alignment horizontal="left" wrapText="1"/>
    </xf>
    <xf numFmtId="177" fontId="8" fillId="4" borderId="23" xfId="0" applyNumberFormat="1" applyFont="1" applyFill="1" applyBorder="1" applyAlignment="1">
      <alignment horizontal="center" wrapText="1"/>
    </xf>
    <xf numFmtId="179" fontId="8" fillId="4" borderId="23" xfId="0" applyNumberFormat="1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176" fontId="8" fillId="2" borderId="24" xfId="0" applyNumberFormat="1" applyFont="1" applyFill="1" applyBorder="1" applyAlignment="1">
      <alignment horizontal="center" wrapText="1"/>
    </xf>
    <xf numFmtId="0" fontId="3" fillId="0" borderId="25" xfId="0" applyFont="1" applyBorder="1" applyAlignment="1">
      <alignment horizontal="left" wrapText="1"/>
    </xf>
    <xf numFmtId="0" fontId="3" fillId="0" borderId="22" xfId="0" applyFont="1" applyFill="1" applyBorder="1" applyAlignment="1">
      <alignment horizontal="center" wrapText="1"/>
    </xf>
    <xf numFmtId="186" fontId="8" fillId="3" borderId="24" xfId="0" applyNumberFormat="1" applyFont="1" applyFill="1" applyBorder="1" applyAlignment="1">
      <alignment horizontal="center" wrapText="1"/>
    </xf>
    <xf numFmtId="10" fontId="8" fillId="3" borderId="24" xfId="0" applyNumberFormat="1" applyFont="1" applyFill="1" applyBorder="1" applyAlignment="1">
      <alignment horizontal="center" wrapText="1"/>
    </xf>
    <xf numFmtId="0" fontId="3" fillId="4" borderId="26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3" fillId="0" borderId="28" xfId="0" applyFont="1" applyBorder="1" applyAlignment="1">
      <alignment horizontal="left" wrapText="1"/>
    </xf>
    <xf numFmtId="0" fontId="3" fillId="4" borderId="29" xfId="0" applyFont="1" applyFill="1" applyBorder="1" applyAlignment="1">
      <alignment horizontal="center" wrapText="1"/>
    </xf>
    <xf numFmtId="186" fontId="8" fillId="3" borderId="15" xfId="0" applyNumberFormat="1" applyFont="1" applyFill="1" applyBorder="1" applyAlignment="1">
      <alignment horizontal="center" wrapText="1"/>
    </xf>
    <xf numFmtId="0" fontId="3" fillId="4" borderId="30" xfId="0" applyFont="1" applyFill="1" applyBorder="1" applyAlignment="1">
      <alignment horizontal="center" wrapText="1"/>
    </xf>
    <xf numFmtId="0" fontId="8" fillId="3" borderId="35" xfId="0" applyFont="1" applyFill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  <xf numFmtId="0" fontId="3" fillId="0" borderId="39" xfId="0" applyFont="1" applyBorder="1" applyAlignment="1">
      <alignment horizontal="center" wrapText="1"/>
    </xf>
    <xf numFmtId="10" fontId="8" fillId="0" borderId="35" xfId="0" applyNumberFormat="1" applyFont="1" applyBorder="1" applyAlignment="1">
      <alignment horizontal="center" wrapText="1"/>
    </xf>
    <xf numFmtId="182" fontId="8" fillId="9" borderId="35" xfId="0" applyNumberFormat="1" applyFont="1" applyFill="1" applyBorder="1" applyAlignment="1">
      <alignment horizontal="center" wrapText="1"/>
    </xf>
    <xf numFmtId="0" fontId="3" fillId="4" borderId="39" xfId="0" applyFont="1" applyFill="1" applyBorder="1" applyAlignment="1">
      <alignment horizontal="center" wrapText="1"/>
    </xf>
    <xf numFmtId="0" fontId="3" fillId="0" borderId="41" xfId="0" applyFont="1" applyBorder="1" applyAlignment="1">
      <alignment horizontal="center" wrapText="1"/>
    </xf>
    <xf numFmtId="179" fontId="8" fillId="0" borderId="42" xfId="0" applyNumberFormat="1" applyFont="1" applyBorder="1" applyAlignment="1">
      <alignment horizontal="center" wrapText="1"/>
    </xf>
    <xf numFmtId="0" fontId="3" fillId="3" borderId="39" xfId="0" applyFont="1" applyFill="1" applyBorder="1" applyAlignment="1">
      <alignment horizontal="center" wrapText="1"/>
    </xf>
    <xf numFmtId="176" fontId="8" fillId="3" borderId="38" xfId="0" applyNumberFormat="1" applyFont="1" applyFill="1" applyBorder="1" applyAlignment="1">
      <alignment horizontal="center" wrapText="1"/>
    </xf>
    <xf numFmtId="186" fontId="8" fillId="3" borderId="38" xfId="0" applyNumberFormat="1" applyFont="1" applyFill="1" applyBorder="1" applyAlignment="1">
      <alignment horizontal="center" wrapText="1"/>
    </xf>
    <xf numFmtId="10" fontId="8" fillId="3" borderId="35" xfId="0" applyNumberFormat="1" applyFont="1" applyFill="1" applyBorder="1" applyAlignment="1">
      <alignment horizontal="center" wrapText="1"/>
    </xf>
    <xf numFmtId="10" fontId="8" fillId="3" borderId="42" xfId="0" applyNumberFormat="1" applyFont="1" applyFill="1" applyBorder="1" applyAlignment="1">
      <alignment horizontal="center" wrapText="1"/>
    </xf>
    <xf numFmtId="186" fontId="8" fillId="3" borderId="45" xfId="0" applyNumberFormat="1" applyFont="1" applyFill="1" applyBorder="1" applyAlignment="1">
      <alignment horizontal="center" wrapText="1"/>
    </xf>
    <xf numFmtId="176" fontId="8" fillId="2" borderId="38" xfId="0" applyNumberFormat="1" applyFont="1" applyFill="1" applyBorder="1" applyAlignment="1">
      <alignment horizontal="center" wrapText="1"/>
    </xf>
    <xf numFmtId="10" fontId="8" fillId="3" borderId="38" xfId="0" applyNumberFormat="1" applyFont="1" applyFill="1" applyBorder="1" applyAlignment="1">
      <alignment horizontal="center" wrapText="1"/>
    </xf>
    <xf numFmtId="182" fontId="1" fillId="0" borderId="0" xfId="0" applyNumberFormat="1" applyFont="1">
      <alignment vertical="center"/>
    </xf>
    <xf numFmtId="184" fontId="8" fillId="0" borderId="36" xfId="0" applyNumberFormat="1" applyFont="1" applyBorder="1" applyAlignment="1">
      <alignment horizontal="center" wrapText="1"/>
    </xf>
    <xf numFmtId="0" fontId="32" fillId="0" borderId="0" xfId="0" applyFont="1" applyAlignment="1">
      <alignment horizontal="centerContinuous" vertical="center"/>
    </xf>
    <xf numFmtId="0" fontId="34" fillId="4" borderId="16" xfId="0" applyFont="1" applyFill="1" applyBorder="1" applyAlignment="1">
      <alignment horizontal="center" wrapText="1"/>
    </xf>
    <xf numFmtId="0" fontId="4" fillId="0" borderId="21" xfId="0" applyFont="1" applyFill="1" applyBorder="1" applyAlignment="1">
      <alignment horizontal="left" wrapText="1"/>
    </xf>
    <xf numFmtId="0" fontId="1" fillId="2" borderId="0" xfId="0" applyFont="1" applyFill="1">
      <alignment vertical="center"/>
    </xf>
    <xf numFmtId="0" fontId="4" fillId="0" borderId="21" xfId="0" applyFont="1" applyBorder="1" applyAlignment="1">
      <alignment horizontal="left" wrapText="1"/>
    </xf>
    <xf numFmtId="0" fontId="35" fillId="4" borderId="30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3" fillId="0" borderId="40" xfId="0" applyFont="1" applyBorder="1" applyAlignment="1">
      <alignment horizontal="left" wrapText="1"/>
    </xf>
    <xf numFmtId="0" fontId="3" fillId="3" borderId="13" xfId="0" applyFont="1" applyFill="1" applyBorder="1" applyAlignment="1">
      <alignment horizontal="center" wrapText="1"/>
    </xf>
    <xf numFmtId="0" fontId="3" fillId="0" borderId="44" xfId="0" applyFont="1" applyBorder="1" applyAlignment="1">
      <alignment horizontal="left" wrapText="1"/>
    </xf>
    <xf numFmtId="0" fontId="3" fillId="3" borderId="10" xfId="0" applyFont="1" applyFill="1" applyBorder="1" applyAlignment="1">
      <alignment horizontal="center" wrapText="1"/>
    </xf>
    <xf numFmtId="0" fontId="34" fillId="4" borderId="46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178" fontId="8" fillId="3" borderId="12" xfId="0" applyNumberFormat="1" applyFont="1" applyFill="1" applyBorder="1" applyAlignment="1">
      <alignment horizontal="center" wrapText="1"/>
    </xf>
    <xf numFmtId="0" fontId="3" fillId="4" borderId="14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left" wrapText="1"/>
    </xf>
    <xf numFmtId="0" fontId="3" fillId="0" borderId="3" xfId="0" applyFont="1" applyBorder="1" applyAlignment="1">
      <alignment horizontal="center" wrapText="1"/>
    </xf>
    <xf numFmtId="178" fontId="8" fillId="3" borderId="7" xfId="0" applyNumberFormat="1" applyFont="1" applyFill="1" applyBorder="1" applyAlignment="1">
      <alignment horizontal="center" wrapText="1"/>
    </xf>
    <xf numFmtId="0" fontId="3" fillId="0" borderId="6" xfId="0" applyFont="1" applyBorder="1" applyAlignment="1">
      <alignment horizontal="left" wrapText="1"/>
    </xf>
    <xf numFmtId="2" fontId="8" fillId="0" borderId="12" xfId="0" applyNumberFormat="1" applyFont="1" applyBorder="1" applyAlignment="1">
      <alignment horizontal="center" wrapText="1"/>
    </xf>
    <xf numFmtId="177" fontId="8" fillId="0" borderId="7" xfId="0" applyNumberFormat="1" applyFont="1" applyFill="1" applyBorder="1" applyAlignment="1">
      <alignment horizontal="center" wrapText="1"/>
    </xf>
    <xf numFmtId="184" fontId="8" fillId="3" borderId="7" xfId="0" applyNumberFormat="1" applyFont="1" applyFill="1" applyBorder="1" applyAlignment="1">
      <alignment horizontal="center" wrapText="1"/>
    </xf>
    <xf numFmtId="184" fontId="8" fillId="0" borderId="7" xfId="0" applyNumberFormat="1" applyFont="1" applyFill="1" applyBorder="1" applyAlignment="1">
      <alignment horizontal="center" wrapText="1"/>
    </xf>
    <xf numFmtId="0" fontId="34" fillId="4" borderId="14" xfId="0" applyFont="1" applyFill="1" applyBorder="1" applyAlignment="1">
      <alignment horizontal="center" wrapText="1"/>
    </xf>
    <xf numFmtId="186" fontId="8" fillId="3" borderId="7" xfId="4" applyNumberFormat="1" applyFont="1" applyFill="1" applyBorder="1" applyAlignment="1">
      <alignment horizontal="center" wrapText="1"/>
    </xf>
    <xf numFmtId="2" fontId="8" fillId="3" borderId="7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left" wrapText="1"/>
    </xf>
    <xf numFmtId="10" fontId="8" fillId="3" borderId="7" xfId="4" applyNumberFormat="1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center" wrapText="1"/>
    </xf>
    <xf numFmtId="2" fontId="8" fillId="0" borderId="8" xfId="0" applyNumberFormat="1" applyFont="1" applyBorder="1" applyAlignment="1">
      <alignment horizontal="center" wrapText="1"/>
    </xf>
    <xf numFmtId="0" fontId="3" fillId="0" borderId="58" xfId="0" applyFont="1" applyBorder="1" applyAlignment="1">
      <alignment horizontal="left" wrapText="1"/>
    </xf>
    <xf numFmtId="0" fontId="3" fillId="0" borderId="59" xfId="0" applyFont="1" applyBorder="1" applyAlignment="1">
      <alignment horizontal="center" wrapText="1"/>
    </xf>
    <xf numFmtId="2" fontId="8" fillId="0" borderId="19" xfId="0" applyNumberFormat="1" applyFont="1" applyBorder="1" applyAlignment="1">
      <alignment horizontal="center" wrapText="1"/>
    </xf>
    <xf numFmtId="0" fontId="3" fillId="4" borderId="60" xfId="0" applyFont="1" applyFill="1" applyBorder="1" applyAlignment="1">
      <alignment horizontal="center" wrapText="1"/>
    </xf>
    <xf numFmtId="0" fontId="3" fillId="0" borderId="61" xfId="0" applyFont="1" applyBorder="1" applyAlignment="1">
      <alignment horizontal="left" wrapText="1"/>
    </xf>
    <xf numFmtId="0" fontId="3" fillId="0" borderId="22" xfId="0" applyFont="1" applyBorder="1" applyAlignment="1">
      <alignment horizontal="center" wrapText="1"/>
    </xf>
    <xf numFmtId="2" fontId="8" fillId="0" borderId="23" xfId="0" applyNumberFormat="1" applyFont="1" applyBorder="1" applyAlignment="1">
      <alignment horizontal="center" wrapText="1"/>
    </xf>
    <xf numFmtId="0" fontId="4" fillId="0" borderId="61" xfId="0" applyFont="1" applyBorder="1" applyAlignment="1">
      <alignment horizontal="left" wrapText="1"/>
    </xf>
    <xf numFmtId="185" fontId="8" fillId="0" borderId="23" xfId="0" applyNumberFormat="1" applyFont="1" applyBorder="1" applyAlignment="1">
      <alignment horizontal="center" wrapText="1"/>
    </xf>
    <xf numFmtId="185" fontId="8" fillId="3" borderId="23" xfId="0" applyNumberFormat="1" applyFont="1" applyFill="1" applyBorder="1" applyAlignment="1">
      <alignment horizontal="center" wrapText="1"/>
    </xf>
    <xf numFmtId="0" fontId="3" fillId="0" borderId="62" xfId="0" applyFont="1" applyBorder="1" applyAlignment="1">
      <alignment horizontal="left" wrapText="1"/>
    </xf>
    <xf numFmtId="0" fontId="3" fillId="0" borderId="26" xfId="0" applyFont="1" applyBorder="1" applyAlignment="1">
      <alignment horizontal="center" wrapText="1"/>
    </xf>
    <xf numFmtId="185" fontId="8" fillId="0" borderId="51" xfId="0" applyNumberFormat="1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185" fontId="8" fillId="0" borderId="64" xfId="0" applyNumberFormat="1" applyFont="1" applyBorder="1" applyAlignment="1">
      <alignment horizontal="center" wrapText="1"/>
    </xf>
    <xf numFmtId="0" fontId="3" fillId="0" borderId="54" xfId="0" applyFont="1" applyBorder="1" applyAlignment="1">
      <alignment horizontal="center" wrapText="1"/>
    </xf>
    <xf numFmtId="185" fontId="8" fillId="0" borderId="33" xfId="0" applyNumberFormat="1" applyFont="1" applyBorder="1" applyAlignment="1">
      <alignment horizontal="center" wrapText="1"/>
    </xf>
    <xf numFmtId="184" fontId="8" fillId="0" borderId="43" xfId="0" applyNumberFormat="1" applyFont="1" applyBorder="1" applyAlignment="1">
      <alignment horizontal="center" wrapText="1"/>
    </xf>
    <xf numFmtId="184" fontId="8" fillId="3" borderId="12" xfId="0" applyNumberFormat="1" applyFont="1" applyFill="1" applyBorder="1" applyAlignment="1">
      <alignment horizontal="center" wrapText="1"/>
    </xf>
    <xf numFmtId="183" fontId="8" fillId="0" borderId="7" xfId="0" applyNumberFormat="1" applyFont="1" applyFill="1" applyBorder="1" applyAlignment="1">
      <alignment horizontal="center" wrapText="1"/>
    </xf>
    <xf numFmtId="183" fontId="8" fillId="3" borderId="7" xfId="0" applyNumberFormat="1" applyFont="1" applyFill="1" applyBorder="1" applyAlignment="1">
      <alignment horizontal="center" wrapText="1"/>
    </xf>
    <xf numFmtId="183" fontId="8" fillId="2" borderId="7" xfId="0" applyNumberFormat="1" applyFont="1" applyFill="1" applyBorder="1" applyAlignment="1">
      <alignment horizontal="center" wrapText="1"/>
    </xf>
    <xf numFmtId="2" fontId="8" fillId="0" borderId="7" xfId="0" applyNumberFormat="1" applyFont="1" applyBorder="1" applyAlignment="1">
      <alignment horizontal="center" wrapText="1"/>
    </xf>
    <xf numFmtId="2" fontId="8" fillId="8" borderId="7" xfId="0" applyNumberFormat="1" applyFont="1" applyFill="1" applyBorder="1" applyAlignment="1">
      <alignment horizontal="center" wrapText="1"/>
    </xf>
    <xf numFmtId="2" fontId="8" fillId="8" borderId="0" xfId="0" applyNumberFormat="1" applyFont="1" applyFill="1" applyBorder="1" applyAlignment="1">
      <alignment horizontal="center" wrapText="1"/>
    </xf>
    <xf numFmtId="2" fontId="8" fillId="0" borderId="7" xfId="0" applyNumberFormat="1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8" fillId="3" borderId="7" xfId="4" applyNumberFormat="1" applyFont="1" applyFill="1" applyBorder="1" applyAlignment="1">
      <alignment horizontal="center" wrapText="1"/>
    </xf>
    <xf numFmtId="183" fontId="8" fillId="0" borderId="8" xfId="0" applyNumberFormat="1" applyFont="1" applyFill="1" applyBorder="1" applyAlignment="1">
      <alignment horizontal="center" wrapText="1"/>
    </xf>
    <xf numFmtId="0" fontId="3" fillId="0" borderId="65" xfId="0" applyFont="1" applyBorder="1" applyAlignment="1">
      <alignment horizontal="center" wrapText="1"/>
    </xf>
    <xf numFmtId="185" fontId="8" fillId="0" borderId="19" xfId="0" applyNumberFormat="1" applyFont="1" applyBorder="1" applyAlignment="1">
      <alignment horizontal="center" wrapText="1"/>
    </xf>
    <xf numFmtId="2" fontId="8" fillId="0" borderId="51" xfId="0" applyNumberFormat="1" applyFont="1" applyBorder="1" applyAlignment="1">
      <alignment horizontal="center" wrapText="1"/>
    </xf>
    <xf numFmtId="2" fontId="8" fillId="0" borderId="66" xfId="0" applyNumberFormat="1" applyFont="1" applyBorder="1" applyAlignment="1">
      <alignment horizontal="center" wrapText="1"/>
    </xf>
    <xf numFmtId="2" fontId="8" fillId="0" borderId="67" xfId="0" applyNumberFormat="1" applyFont="1" applyBorder="1" applyAlignment="1">
      <alignment horizontal="center" wrapText="1"/>
    </xf>
    <xf numFmtId="185" fontId="8" fillId="0" borderId="36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53" xfId="0" applyFont="1" applyBorder="1" applyAlignment="1">
      <alignment horizontal="left" wrapText="1"/>
    </xf>
    <xf numFmtId="183" fontId="8" fillId="3" borderId="43" xfId="0" applyNumberFormat="1" applyFont="1" applyFill="1" applyBorder="1" applyAlignment="1">
      <alignment horizontal="center" wrapText="1"/>
    </xf>
    <xf numFmtId="183" fontId="8" fillId="0" borderId="57" xfId="0" applyNumberFormat="1" applyFont="1" applyFill="1" applyBorder="1" applyAlignment="1">
      <alignment horizontal="center" wrapText="1"/>
    </xf>
    <xf numFmtId="183" fontId="8" fillId="0" borderId="36" xfId="0" applyNumberFormat="1" applyFont="1" applyFill="1" applyBorder="1" applyAlignment="1">
      <alignment horizontal="center" wrapText="1"/>
    </xf>
    <xf numFmtId="183" fontId="8" fillId="3" borderId="36" xfId="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9" fontId="8" fillId="0" borderId="8" xfId="0" applyNumberFormat="1" applyFont="1" applyFill="1" applyBorder="1" applyAlignment="1">
      <alignment horizontal="center" wrapText="1"/>
    </xf>
    <xf numFmtId="185" fontId="8" fillId="0" borderId="33" xfId="0" applyNumberFormat="1" applyFont="1" applyFill="1" applyBorder="1" applyAlignment="1">
      <alignment horizontal="center" wrapText="1"/>
    </xf>
    <xf numFmtId="186" fontId="8" fillId="0" borderId="36" xfId="0" applyNumberFormat="1" applyFont="1" applyBorder="1" applyAlignment="1">
      <alignment horizontal="center" wrapText="1"/>
    </xf>
    <xf numFmtId="2" fontId="8" fillId="0" borderId="36" xfId="0" applyNumberFormat="1" applyFont="1" applyBorder="1" applyAlignment="1">
      <alignment horizontal="center" wrapText="1"/>
    </xf>
    <xf numFmtId="9" fontId="8" fillId="3" borderId="36" xfId="0" applyNumberFormat="1" applyFont="1" applyFill="1" applyBorder="1" applyAlignment="1">
      <alignment horizontal="center" wrapText="1"/>
    </xf>
    <xf numFmtId="183" fontId="8" fillId="0" borderId="36" xfId="0" applyNumberFormat="1" applyFont="1" applyBorder="1" applyAlignment="1">
      <alignment horizontal="center" wrapText="1"/>
    </xf>
    <xf numFmtId="177" fontId="8" fillId="0" borderId="36" xfId="0" applyNumberFormat="1" applyFont="1" applyBorder="1" applyAlignment="1">
      <alignment horizontal="center" wrapText="1"/>
    </xf>
    <xf numFmtId="177" fontId="8" fillId="0" borderId="43" xfId="0" applyNumberFormat="1" applyFont="1" applyBorder="1" applyAlignment="1">
      <alignment horizontal="center" wrapText="1"/>
    </xf>
    <xf numFmtId="1" fontId="8" fillId="3" borderId="12" xfId="0" applyNumberFormat="1" applyFont="1" applyFill="1" applyBorder="1" applyAlignment="1">
      <alignment horizontal="center" wrapText="1"/>
    </xf>
    <xf numFmtId="9" fontId="8" fillId="3" borderId="7" xfId="4" applyFont="1" applyFill="1" applyBorder="1" applyAlignment="1">
      <alignment horizontal="center" wrapText="1"/>
    </xf>
    <xf numFmtId="177" fontId="8" fillId="0" borderId="7" xfId="0" applyNumberFormat="1" applyFont="1" applyBorder="1" applyAlignment="1">
      <alignment horizontal="center" wrapText="1"/>
    </xf>
    <xf numFmtId="177" fontId="8" fillId="3" borderId="7" xfId="0" applyNumberFormat="1" applyFont="1" applyFill="1" applyBorder="1" applyAlignment="1">
      <alignment horizontal="center" wrapText="1"/>
    </xf>
    <xf numFmtId="185" fontId="8" fillId="0" borderId="8" xfId="0" applyNumberFormat="1" applyFont="1" applyBorder="1" applyAlignment="1">
      <alignment horizontal="center" wrapText="1"/>
    </xf>
    <xf numFmtId="177" fontId="8" fillId="0" borderId="33" xfId="0" applyNumberFormat="1" applyFont="1" applyBorder="1" applyAlignment="1">
      <alignment horizontal="center" wrapText="1"/>
    </xf>
    <xf numFmtId="0" fontId="3" fillId="0" borderId="68" xfId="0" applyFont="1" applyBorder="1" applyAlignment="1">
      <alignment horizontal="left" wrapText="1"/>
    </xf>
    <xf numFmtId="0" fontId="3" fillId="0" borderId="69" xfId="0" applyFont="1" applyBorder="1" applyAlignment="1">
      <alignment horizontal="center" wrapText="1"/>
    </xf>
    <xf numFmtId="0" fontId="4" fillId="0" borderId="25" xfId="0" applyFont="1" applyBorder="1" applyAlignment="1">
      <alignment horizontal="left" wrapText="1"/>
    </xf>
    <xf numFmtId="176" fontId="8" fillId="3" borderId="33" xfId="0" applyNumberFormat="1" applyFont="1" applyFill="1" applyBorder="1" applyAlignment="1">
      <alignment horizontal="center" wrapText="1"/>
    </xf>
    <xf numFmtId="176" fontId="8" fillId="3" borderId="24" xfId="0" applyNumberFormat="1" applyFont="1" applyFill="1" applyBorder="1" applyAlignment="1">
      <alignment horizontal="center" wrapText="1"/>
    </xf>
    <xf numFmtId="2" fontId="8" fillId="3" borderId="43" xfId="0" applyNumberFormat="1" applyFont="1" applyFill="1" applyBorder="1" applyAlignment="1">
      <alignment horizontal="center" wrapText="1"/>
    </xf>
    <xf numFmtId="0" fontId="4" fillId="0" borderId="17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8" fillId="3" borderId="23" xfId="0" applyFont="1" applyFill="1" applyBorder="1" applyAlignment="1">
      <alignment horizontal="center" wrapText="1"/>
    </xf>
    <xf numFmtId="181" fontId="8" fillId="3" borderId="23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72" xfId="0" applyFont="1" applyBorder="1" applyAlignment="1">
      <alignment horizontal="center" wrapText="1"/>
    </xf>
    <xf numFmtId="184" fontId="8" fillId="0" borderId="47" xfId="0" applyNumberFormat="1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184" fontId="8" fillId="3" borderId="48" xfId="0" applyNumberFormat="1" applyFont="1" applyFill="1" applyBorder="1" applyAlignment="1">
      <alignment horizontal="center" wrapText="1"/>
    </xf>
    <xf numFmtId="2" fontId="8" fillId="3" borderId="48" xfId="0" applyNumberFormat="1" applyFont="1" applyFill="1" applyBorder="1" applyAlignment="1">
      <alignment horizontal="center" wrapText="1"/>
    </xf>
    <xf numFmtId="2" fontId="8" fillId="0" borderId="48" xfId="0" applyNumberFormat="1" applyFont="1" applyBorder="1" applyAlignment="1">
      <alignment horizontal="center" wrapText="1"/>
    </xf>
    <xf numFmtId="0" fontId="8" fillId="3" borderId="48" xfId="0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left" wrapText="1"/>
    </xf>
    <xf numFmtId="0" fontId="3" fillId="4" borderId="10" xfId="0" applyFont="1" applyFill="1" applyBorder="1" applyAlignment="1">
      <alignment horizontal="center" wrapText="1"/>
    </xf>
    <xf numFmtId="2" fontId="40" fillId="0" borderId="48" xfId="0" applyNumberFormat="1" applyFont="1" applyBorder="1" applyAlignment="1">
      <alignment horizontal="center" wrapText="1"/>
    </xf>
    <xf numFmtId="183" fontId="38" fillId="0" borderId="48" xfId="0" applyNumberFormat="1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3" fillId="4" borderId="6" xfId="0" applyFont="1" applyFill="1" applyBorder="1" applyAlignment="1">
      <alignment wrapText="1"/>
    </xf>
    <xf numFmtId="2" fontId="8" fillId="4" borderId="48" xfId="0" applyNumberFormat="1" applyFont="1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3" fillId="4" borderId="73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2" fontId="8" fillId="0" borderId="49" xfId="0" applyNumberFormat="1" applyFont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182" fontId="8" fillId="3" borderId="52" xfId="0" applyNumberFormat="1" applyFont="1" applyFill="1" applyBorder="1" applyAlignment="1">
      <alignment horizontal="center" wrapText="1"/>
    </xf>
    <xf numFmtId="183" fontId="8" fillId="0" borderId="7" xfId="0" applyNumberFormat="1" applyFont="1" applyBorder="1" applyAlignment="1">
      <alignment horizontal="center" wrapText="1"/>
    </xf>
    <xf numFmtId="10" fontId="3" fillId="3" borderId="23" xfId="0" applyNumberFormat="1" applyFont="1" applyFill="1" applyBorder="1" applyAlignment="1">
      <alignment horizontal="center" wrapText="1"/>
    </xf>
    <xf numFmtId="180" fontId="8" fillId="2" borderId="35" xfId="0" applyNumberFormat="1" applyFont="1" applyFill="1" applyBorder="1" applyAlignment="1">
      <alignment horizontal="center" wrapText="1"/>
    </xf>
    <xf numFmtId="178" fontId="8" fillId="2" borderId="7" xfId="0" applyNumberFormat="1" applyFont="1" applyFill="1" applyBorder="1" applyAlignment="1">
      <alignment horizontal="center" wrapText="1"/>
    </xf>
    <xf numFmtId="2" fontId="8" fillId="2" borderId="7" xfId="0" applyNumberFormat="1" applyFont="1" applyFill="1" applyBorder="1" applyAlignment="1">
      <alignment horizontal="center" wrapText="1"/>
    </xf>
    <xf numFmtId="184" fontId="8" fillId="2" borderId="47" xfId="0" applyNumberFormat="1" applyFont="1" applyFill="1" applyBorder="1" applyAlignment="1">
      <alignment horizontal="center" wrapText="1"/>
    </xf>
    <xf numFmtId="177" fontId="8" fillId="2" borderId="48" xfId="0" applyNumberFormat="1" applyFont="1" applyFill="1" applyBorder="1" applyAlignment="1">
      <alignment horizontal="center" wrapText="1"/>
    </xf>
    <xf numFmtId="182" fontId="8" fillId="2" borderId="48" xfId="0" applyNumberFormat="1" applyFont="1" applyFill="1" applyBorder="1" applyAlignment="1">
      <alignment horizontal="center" wrapText="1"/>
    </xf>
    <xf numFmtId="185" fontId="3" fillId="2" borderId="36" xfId="0" applyNumberFormat="1" applyFont="1" applyFill="1" applyBorder="1" applyAlignment="1">
      <alignment horizontal="center" wrapText="1"/>
    </xf>
    <xf numFmtId="184" fontId="3" fillId="2" borderId="36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50" xfId="0" applyFont="1" applyFill="1" applyBorder="1" applyAlignment="1">
      <alignment horizontal="center" wrapText="1"/>
    </xf>
    <xf numFmtId="183" fontId="3" fillId="2" borderId="43" xfId="0" applyNumberFormat="1" applyFont="1" applyFill="1" applyBorder="1" applyAlignment="1">
      <alignment horizontal="center" wrapText="1"/>
    </xf>
    <xf numFmtId="185" fontId="3" fillId="2" borderId="36" xfId="0" applyNumberFormat="1" applyFont="1" applyFill="1" applyBorder="1" applyAlignment="1">
      <alignment horizontal="left" wrapText="1"/>
    </xf>
    <xf numFmtId="184" fontId="3" fillId="2" borderId="36" xfId="0" applyNumberFormat="1" applyFont="1" applyFill="1" applyBorder="1" applyAlignment="1">
      <alignment horizontal="left" wrapText="1"/>
    </xf>
    <xf numFmtId="185" fontId="8" fillId="2" borderId="23" xfId="0" applyNumberFormat="1" applyFont="1" applyFill="1" applyBorder="1" applyAlignment="1">
      <alignment horizontal="center" wrapText="1"/>
    </xf>
    <xf numFmtId="184" fontId="8" fillId="0" borderId="70" xfId="0" applyNumberFormat="1" applyFont="1" applyBorder="1" applyAlignment="1">
      <alignment horizontal="center" wrapText="1"/>
    </xf>
    <xf numFmtId="0" fontId="8" fillId="2" borderId="23" xfId="0" applyFont="1" applyFill="1" applyBorder="1" applyAlignment="1">
      <alignment horizontal="center" wrapText="1"/>
    </xf>
    <xf numFmtId="184" fontId="8" fillId="2" borderId="23" xfId="0" applyNumberFormat="1" applyFont="1" applyFill="1" applyBorder="1" applyAlignment="1">
      <alignment horizontal="center" wrapText="1"/>
    </xf>
    <xf numFmtId="182" fontId="8" fillId="3" borderId="23" xfId="0" applyNumberFormat="1" applyFont="1" applyFill="1" applyBorder="1" applyAlignment="1">
      <alignment horizontal="center" wrapText="1"/>
    </xf>
    <xf numFmtId="183" fontId="3" fillId="7" borderId="23" xfId="0" applyNumberFormat="1" applyFont="1" applyFill="1" applyBorder="1" applyAlignment="1">
      <alignment horizontal="center" wrapText="1"/>
    </xf>
    <xf numFmtId="182" fontId="8" fillId="0" borderId="35" xfId="0" applyNumberFormat="1" applyFont="1" applyBorder="1" applyAlignment="1">
      <alignment horizontal="center" wrapText="1"/>
    </xf>
    <xf numFmtId="0" fontId="4" fillId="0" borderId="71" xfId="0" applyFont="1" applyBorder="1" applyAlignment="1">
      <alignment horizontal="left" wrapText="1"/>
    </xf>
    <xf numFmtId="0" fontId="3" fillId="0" borderId="0" xfId="0" applyFont="1" applyBorder="1" applyAlignment="1">
      <alignment horizontal="center" wrapText="1"/>
    </xf>
    <xf numFmtId="184" fontId="8" fillId="3" borderId="23" xfId="0" applyNumberFormat="1" applyFont="1" applyFill="1" applyBorder="1" applyAlignment="1">
      <alignment horizontal="center" wrapText="1"/>
    </xf>
    <xf numFmtId="181" fontId="8" fillId="2" borderId="23" xfId="0" applyNumberFormat="1" applyFont="1" applyFill="1" applyBorder="1" applyAlignment="1">
      <alignment horizontal="center" wrapText="1"/>
    </xf>
    <xf numFmtId="184" fontId="8" fillId="0" borderId="48" xfId="0" applyNumberFormat="1" applyFont="1" applyBorder="1" applyAlignment="1">
      <alignment horizontal="center" wrapText="1"/>
    </xf>
    <xf numFmtId="184" fontId="8" fillId="0" borderId="84" xfId="0" applyNumberFormat="1" applyFont="1" applyBorder="1" applyAlignment="1">
      <alignment horizontal="center" wrapText="1"/>
    </xf>
    <xf numFmtId="187" fontId="8" fillId="2" borderId="23" xfId="0" applyNumberFormat="1" applyFont="1" applyFill="1" applyBorder="1" applyAlignment="1">
      <alignment horizontal="center" wrapText="1"/>
    </xf>
    <xf numFmtId="188" fontId="8" fillId="2" borderId="23" xfId="0" applyNumberFormat="1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left" wrapText="1"/>
    </xf>
    <xf numFmtId="0" fontId="3" fillId="7" borderId="3" xfId="0" applyFont="1" applyFill="1" applyBorder="1" applyAlignment="1">
      <alignment horizontal="center" wrapText="1"/>
    </xf>
    <xf numFmtId="178" fontId="8" fillId="7" borderId="7" xfId="0" applyNumberFormat="1" applyFont="1" applyFill="1" applyBorder="1" applyAlignment="1">
      <alignment horizontal="center" wrapText="1"/>
    </xf>
    <xf numFmtId="183" fontId="8" fillId="7" borderId="7" xfId="0" applyNumberFormat="1" applyFont="1" applyFill="1" applyBorder="1" applyAlignment="1">
      <alignment horizontal="center" wrapText="1"/>
    </xf>
    <xf numFmtId="0" fontId="1" fillId="5" borderId="83" xfId="0" applyFont="1" applyFill="1" applyBorder="1" applyAlignment="1">
      <alignment horizontal="centerContinuous" vertical="center" wrapText="1"/>
    </xf>
    <xf numFmtId="0" fontId="3" fillId="7" borderId="14" xfId="0" applyFont="1" applyFill="1" applyBorder="1" applyAlignment="1">
      <alignment horizontal="center" wrapText="1"/>
    </xf>
    <xf numFmtId="0" fontId="3" fillId="0" borderId="63" xfId="0" applyFont="1" applyBorder="1" applyAlignment="1">
      <alignment horizontal="left" wrapText="1"/>
    </xf>
    <xf numFmtId="0" fontId="3" fillId="0" borderId="40" xfId="0" applyFont="1" applyBorder="1" applyAlignment="1">
      <alignment horizontal="center" wrapText="1"/>
    </xf>
    <xf numFmtId="183" fontId="3" fillId="0" borderId="40" xfId="0" applyNumberFormat="1" applyFont="1" applyBorder="1" applyAlignment="1">
      <alignment horizontal="center" wrapText="1"/>
    </xf>
    <xf numFmtId="184" fontId="3" fillId="0" borderId="40" xfId="0" applyNumberFormat="1" applyFont="1" applyBorder="1" applyAlignment="1">
      <alignment horizontal="center" wrapText="1"/>
    </xf>
    <xf numFmtId="184" fontId="3" fillId="3" borderId="40" xfId="0" applyNumberFormat="1" applyFont="1" applyFill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184" fontId="3" fillId="0" borderId="21" xfId="0" applyNumberFormat="1" applyFont="1" applyBorder="1" applyAlignment="1">
      <alignment horizontal="center" wrapText="1"/>
    </xf>
    <xf numFmtId="184" fontId="3" fillId="0" borderId="0" xfId="0" applyNumberFormat="1" applyFont="1" applyBorder="1" applyAlignment="1">
      <alignment horizontal="center" wrapText="1"/>
    </xf>
    <xf numFmtId="0" fontId="3" fillId="0" borderId="55" xfId="0" applyFont="1" applyBorder="1" applyAlignment="1">
      <alignment horizontal="left" wrapText="1"/>
    </xf>
    <xf numFmtId="0" fontId="3" fillId="0" borderId="56" xfId="0" applyFont="1" applyBorder="1" applyAlignment="1">
      <alignment horizontal="center" wrapText="1"/>
    </xf>
    <xf numFmtId="2" fontId="3" fillId="0" borderId="40" xfId="0" applyNumberFormat="1" applyFont="1" applyBorder="1" applyAlignment="1">
      <alignment horizontal="center" wrapText="1"/>
    </xf>
    <xf numFmtId="0" fontId="30" fillId="4" borderId="4" xfId="0" applyFont="1" applyFill="1" applyBorder="1" applyAlignment="1">
      <alignment horizontal="center" wrapText="1"/>
    </xf>
    <xf numFmtId="0" fontId="29" fillId="3" borderId="32" xfId="0" applyFont="1" applyFill="1" applyBorder="1" applyAlignment="1">
      <alignment horizontal="center" wrapText="1"/>
    </xf>
    <xf numFmtId="0" fontId="6" fillId="0" borderId="40" xfId="0" applyFont="1" applyBorder="1" applyAlignment="1">
      <alignment horizontal="left" wrapText="1"/>
    </xf>
    <xf numFmtId="0" fontId="6" fillId="0" borderId="22" xfId="0" applyFont="1" applyBorder="1" applyAlignment="1">
      <alignment horizontal="center" wrapText="1"/>
    </xf>
    <xf numFmtId="0" fontId="3" fillId="0" borderId="31" xfId="0" applyFont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184" fontId="8" fillId="0" borderId="33" xfId="0" applyNumberFormat="1" applyFont="1" applyBorder="1" applyAlignment="1">
      <alignment horizontal="center" wrapText="1"/>
    </xf>
    <xf numFmtId="0" fontId="27" fillId="5" borderId="9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178" fontId="8" fillId="2" borderId="86" xfId="0" applyNumberFormat="1" applyFont="1" applyFill="1" applyBorder="1" applyAlignment="1">
      <alignment horizontal="center" wrapText="1"/>
    </xf>
    <xf numFmtId="183" fontId="8" fillId="2" borderId="86" xfId="0" applyNumberFormat="1" applyFont="1" applyFill="1" applyBorder="1" applyAlignment="1">
      <alignment horizontal="center" wrapText="1"/>
    </xf>
    <xf numFmtId="2" fontId="8" fillId="2" borderId="86" xfId="0" applyNumberFormat="1" applyFont="1" applyFill="1" applyBorder="1" applyAlignment="1">
      <alignment horizontal="center" wrapText="1"/>
    </xf>
    <xf numFmtId="177" fontId="8" fillId="2" borderId="84" xfId="0" applyNumberFormat="1" applyFont="1" applyFill="1" applyBorder="1" applyAlignment="1">
      <alignment horizontal="center" wrapText="1"/>
    </xf>
    <xf numFmtId="182" fontId="8" fillId="2" borderId="84" xfId="0" applyNumberFormat="1" applyFont="1" applyFill="1" applyBorder="1" applyAlignment="1">
      <alignment horizontal="center" wrapText="1"/>
    </xf>
    <xf numFmtId="0" fontId="1" fillId="2" borderId="0" xfId="0" applyFont="1" applyFill="1" applyAlignment="1">
      <alignment horizontal="centerContinuous" vertical="center"/>
    </xf>
    <xf numFmtId="0" fontId="8" fillId="2" borderId="24" xfId="0" applyFont="1" applyFill="1" applyBorder="1" applyAlignment="1">
      <alignment horizontal="center" wrapText="1"/>
    </xf>
    <xf numFmtId="183" fontId="3" fillId="2" borderId="23" xfId="0" applyNumberFormat="1" applyFont="1" applyFill="1" applyBorder="1" applyAlignment="1">
      <alignment horizontal="center" wrapText="1"/>
    </xf>
    <xf numFmtId="1" fontId="8" fillId="2" borderId="23" xfId="0" applyNumberFormat="1" applyFont="1" applyFill="1" applyBorder="1" applyAlignment="1">
      <alignment horizontal="center" wrapText="1"/>
    </xf>
    <xf numFmtId="10" fontId="3" fillId="2" borderId="23" xfId="0" applyNumberFormat="1" applyFont="1" applyFill="1" applyBorder="1" applyAlignment="1">
      <alignment horizontal="center" wrapText="1"/>
    </xf>
    <xf numFmtId="177" fontId="8" fillId="2" borderId="23" xfId="0" applyNumberFormat="1" applyFont="1" applyFill="1" applyBorder="1" applyAlignment="1">
      <alignment horizontal="center" wrapText="1"/>
    </xf>
    <xf numFmtId="179" fontId="8" fillId="2" borderId="23" xfId="0" applyNumberFormat="1" applyFont="1" applyFill="1" applyBorder="1" applyAlignment="1">
      <alignment horizontal="center" wrapText="1"/>
    </xf>
    <xf numFmtId="186" fontId="8" fillId="2" borderId="24" xfId="0" applyNumberFormat="1" applyFont="1" applyFill="1" applyBorder="1" applyAlignment="1">
      <alignment horizontal="center" wrapText="1"/>
    </xf>
    <xf numFmtId="10" fontId="8" fillId="2" borderId="24" xfId="0" applyNumberFormat="1" applyFont="1" applyFill="1" applyBorder="1" applyAlignment="1">
      <alignment horizontal="center" wrapText="1"/>
    </xf>
    <xf numFmtId="186" fontId="8" fillId="2" borderId="15" xfId="0" applyNumberFormat="1" applyFont="1" applyFill="1" applyBorder="1" applyAlignment="1">
      <alignment horizontal="center" wrapText="1"/>
    </xf>
    <xf numFmtId="0" fontId="29" fillId="2" borderId="32" xfId="0" applyFont="1" applyFill="1" applyBorder="1" applyAlignment="1">
      <alignment horizontal="center" wrapText="1"/>
    </xf>
    <xf numFmtId="0" fontId="8" fillId="2" borderId="35" xfId="0" applyFont="1" applyFill="1" applyBorder="1" applyAlignment="1">
      <alignment horizontal="center" wrapText="1"/>
    </xf>
    <xf numFmtId="10" fontId="8" fillId="2" borderId="35" xfId="0" applyNumberFormat="1" applyFont="1" applyFill="1" applyBorder="1" applyAlignment="1">
      <alignment horizontal="center" wrapText="1"/>
    </xf>
    <xf numFmtId="10" fontId="8" fillId="2" borderId="38" xfId="0" applyNumberFormat="1" applyFont="1" applyFill="1" applyBorder="1" applyAlignment="1">
      <alignment horizontal="center" wrapText="1"/>
    </xf>
    <xf numFmtId="182" fontId="8" fillId="2" borderId="35" xfId="0" applyNumberFormat="1" applyFont="1" applyFill="1" applyBorder="1" applyAlignment="1">
      <alignment horizontal="center" wrapText="1"/>
    </xf>
    <xf numFmtId="179" fontId="8" fillId="2" borderId="42" xfId="0" applyNumberFormat="1" applyFont="1" applyFill="1" applyBorder="1" applyAlignment="1">
      <alignment horizontal="center" wrapText="1"/>
    </xf>
    <xf numFmtId="186" fontId="8" fillId="2" borderId="38" xfId="0" applyNumberFormat="1" applyFont="1" applyFill="1" applyBorder="1" applyAlignment="1">
      <alignment horizontal="center" wrapText="1"/>
    </xf>
    <xf numFmtId="10" fontId="8" fillId="2" borderId="42" xfId="0" applyNumberFormat="1" applyFont="1" applyFill="1" applyBorder="1" applyAlignment="1">
      <alignment horizontal="center" wrapText="1"/>
    </xf>
    <xf numFmtId="186" fontId="8" fillId="2" borderId="45" xfId="0" applyNumberFormat="1" applyFont="1" applyFill="1" applyBorder="1" applyAlignment="1">
      <alignment horizontal="center" wrapText="1"/>
    </xf>
    <xf numFmtId="178" fontId="8" fillId="2" borderId="12" xfId="0" applyNumberFormat="1" applyFont="1" applyFill="1" applyBorder="1" applyAlignment="1">
      <alignment horizontal="center" wrapText="1"/>
    </xf>
    <xf numFmtId="2" fontId="8" fillId="2" borderId="12" xfId="0" applyNumberFormat="1" applyFont="1" applyFill="1" applyBorder="1" applyAlignment="1">
      <alignment horizontal="center" wrapText="1"/>
    </xf>
    <xf numFmtId="177" fontId="8" fillId="2" borderId="86" xfId="0" applyNumberFormat="1" applyFont="1" applyFill="1" applyBorder="1" applyAlignment="1">
      <alignment horizontal="center" wrapText="1"/>
    </xf>
    <xf numFmtId="184" fontId="8" fillId="2" borderId="86" xfId="0" applyNumberFormat="1" applyFont="1" applyFill="1" applyBorder="1" applyAlignment="1">
      <alignment horizontal="center" wrapText="1"/>
    </xf>
    <xf numFmtId="186" fontId="8" fillId="2" borderId="86" xfId="4" applyNumberFormat="1" applyFont="1" applyFill="1" applyBorder="1" applyAlignment="1">
      <alignment horizontal="center" wrapText="1"/>
    </xf>
    <xf numFmtId="10" fontId="8" fillId="2" borderId="86" xfId="4" applyNumberFormat="1" applyFont="1" applyFill="1" applyBorder="1" applyAlignment="1">
      <alignment horizontal="center" wrapText="1"/>
    </xf>
    <xf numFmtId="2" fontId="8" fillId="2" borderId="87" xfId="0" applyNumberFormat="1" applyFont="1" applyFill="1" applyBorder="1" applyAlignment="1">
      <alignment horizontal="center" wrapText="1"/>
    </xf>
    <xf numFmtId="2" fontId="8" fillId="2" borderId="19" xfId="0" applyNumberFormat="1" applyFont="1" applyFill="1" applyBorder="1" applyAlignment="1">
      <alignment horizontal="center" wrapText="1"/>
    </xf>
    <xf numFmtId="2" fontId="8" fillId="2" borderId="23" xfId="0" applyNumberFormat="1" applyFont="1" applyFill="1" applyBorder="1" applyAlignment="1">
      <alignment horizontal="center" wrapText="1"/>
    </xf>
    <xf numFmtId="185" fontId="8" fillId="2" borderId="51" xfId="0" applyNumberFormat="1" applyFont="1" applyFill="1" applyBorder="1" applyAlignment="1">
      <alignment horizontal="center" wrapText="1"/>
    </xf>
    <xf numFmtId="185" fontId="8" fillId="2" borderId="64" xfId="0" applyNumberFormat="1" applyFont="1" applyFill="1" applyBorder="1" applyAlignment="1">
      <alignment horizontal="center" wrapText="1"/>
    </xf>
    <xf numFmtId="185" fontId="8" fillId="2" borderId="33" xfId="0" applyNumberFormat="1" applyFont="1" applyFill="1" applyBorder="1" applyAlignment="1">
      <alignment horizontal="center" wrapText="1"/>
    </xf>
    <xf numFmtId="184" fontId="8" fillId="2" borderId="43" xfId="0" applyNumberFormat="1" applyFont="1" applyFill="1" applyBorder="1" applyAlignment="1">
      <alignment horizontal="center" wrapText="1"/>
    </xf>
    <xf numFmtId="184" fontId="8" fillId="2" borderId="12" xfId="0" applyNumberFormat="1" applyFont="1" applyFill="1" applyBorder="1" applyAlignment="1">
      <alignment horizontal="center" wrapText="1"/>
    </xf>
    <xf numFmtId="0" fontId="8" fillId="2" borderId="86" xfId="4" applyNumberFormat="1" applyFont="1" applyFill="1" applyBorder="1" applyAlignment="1">
      <alignment horizontal="center" wrapText="1"/>
    </xf>
    <xf numFmtId="183" fontId="8" fillId="2" borderId="87" xfId="0" applyNumberFormat="1" applyFont="1" applyFill="1" applyBorder="1" applyAlignment="1">
      <alignment horizontal="center" wrapText="1"/>
    </xf>
    <xf numFmtId="185" fontId="8" fillId="2" borderId="19" xfId="0" applyNumberFormat="1" applyFont="1" applyFill="1" applyBorder="1" applyAlignment="1">
      <alignment horizontal="center" wrapText="1"/>
    </xf>
    <xf numFmtId="2" fontId="8" fillId="2" borderId="51" xfId="0" applyNumberFormat="1" applyFont="1" applyFill="1" applyBorder="1" applyAlignment="1">
      <alignment horizontal="center" wrapText="1"/>
    </xf>
    <xf numFmtId="2" fontId="8" fillId="2" borderId="66" xfId="0" applyNumberFormat="1" applyFont="1" applyFill="1" applyBorder="1" applyAlignment="1">
      <alignment horizontal="center" wrapText="1"/>
    </xf>
    <xf numFmtId="2" fontId="8" fillId="2" borderId="67" xfId="0" applyNumberFormat="1" applyFont="1" applyFill="1" applyBorder="1" applyAlignment="1">
      <alignment horizontal="center" wrapText="1"/>
    </xf>
    <xf numFmtId="185" fontId="8" fillId="2" borderId="36" xfId="0" applyNumberFormat="1" applyFont="1" applyFill="1" applyBorder="1" applyAlignment="1">
      <alignment horizontal="center" wrapText="1"/>
    </xf>
    <xf numFmtId="184" fontId="8" fillId="2" borderId="36" xfId="0" applyNumberFormat="1" applyFont="1" applyFill="1" applyBorder="1" applyAlignment="1">
      <alignment horizontal="center" wrapText="1"/>
    </xf>
    <xf numFmtId="182" fontId="8" fillId="2" borderId="52" xfId="0" applyNumberFormat="1" applyFont="1" applyFill="1" applyBorder="1" applyAlignment="1">
      <alignment horizontal="center" wrapText="1"/>
    </xf>
    <xf numFmtId="183" fontId="8" fillId="2" borderId="43" xfId="0" applyNumberFormat="1" applyFont="1" applyFill="1" applyBorder="1" applyAlignment="1">
      <alignment horizontal="center" wrapText="1"/>
    </xf>
    <xf numFmtId="1" fontId="8" fillId="2" borderId="12" xfId="0" applyNumberFormat="1" applyFont="1" applyFill="1" applyBorder="1" applyAlignment="1">
      <alignment horizontal="center" wrapText="1"/>
    </xf>
    <xf numFmtId="9" fontId="8" fillId="2" borderId="86" xfId="4" applyFont="1" applyFill="1" applyBorder="1" applyAlignment="1">
      <alignment horizontal="center" wrapText="1"/>
    </xf>
    <xf numFmtId="185" fontId="8" fillId="2" borderId="87" xfId="0" applyNumberFormat="1" applyFont="1" applyFill="1" applyBorder="1" applyAlignment="1">
      <alignment horizontal="center" wrapText="1"/>
    </xf>
    <xf numFmtId="0" fontId="3" fillId="2" borderId="40" xfId="0" applyFont="1" applyFill="1" applyBorder="1" applyAlignment="1">
      <alignment horizontal="center" wrapText="1"/>
    </xf>
    <xf numFmtId="183" fontId="3" fillId="2" borderId="40" xfId="0" applyNumberFormat="1" applyFont="1" applyFill="1" applyBorder="1" applyAlignment="1">
      <alignment horizontal="center" wrapText="1"/>
    </xf>
    <xf numFmtId="184" fontId="3" fillId="2" borderId="40" xfId="0" applyNumberFormat="1" applyFont="1" applyFill="1" applyBorder="1" applyAlignment="1">
      <alignment horizontal="center" wrapText="1"/>
    </xf>
    <xf numFmtId="184" fontId="3" fillId="2" borderId="21" xfId="0" applyNumberFormat="1" applyFont="1" applyFill="1" applyBorder="1" applyAlignment="1">
      <alignment horizontal="center" wrapText="1"/>
    </xf>
    <xf numFmtId="184" fontId="3" fillId="2" borderId="0" xfId="0" applyNumberFormat="1" applyFont="1" applyFill="1" applyBorder="1" applyAlignment="1">
      <alignment horizontal="center" wrapText="1"/>
    </xf>
    <xf numFmtId="183" fontId="8" fillId="2" borderId="57" xfId="0" applyNumberFormat="1" applyFont="1" applyFill="1" applyBorder="1" applyAlignment="1">
      <alignment horizontal="center" wrapText="1"/>
    </xf>
    <xf numFmtId="183" fontId="8" fillId="2" borderId="36" xfId="0" applyNumberFormat="1" applyFont="1" applyFill="1" applyBorder="1" applyAlignment="1">
      <alignment horizontal="center" wrapText="1"/>
    </xf>
    <xf numFmtId="9" fontId="8" fillId="2" borderId="87" xfId="0" applyNumberFormat="1" applyFont="1" applyFill="1" applyBorder="1" applyAlignment="1">
      <alignment horizontal="center" wrapText="1"/>
    </xf>
    <xf numFmtId="184" fontId="8" fillId="2" borderId="33" xfId="0" applyNumberFormat="1" applyFont="1" applyFill="1" applyBorder="1" applyAlignment="1">
      <alignment horizontal="center" wrapText="1"/>
    </xf>
    <xf numFmtId="186" fontId="8" fillId="2" borderId="36" xfId="0" applyNumberFormat="1" applyFont="1" applyFill="1" applyBorder="1" applyAlignment="1">
      <alignment horizontal="center" wrapText="1"/>
    </xf>
    <xf numFmtId="2" fontId="8" fillId="2" borderId="36" xfId="0" applyNumberFormat="1" applyFont="1" applyFill="1" applyBorder="1" applyAlignment="1">
      <alignment horizontal="center" wrapText="1"/>
    </xf>
    <xf numFmtId="9" fontId="8" fillId="2" borderId="36" xfId="0" applyNumberFormat="1" applyFont="1" applyFill="1" applyBorder="1" applyAlignment="1">
      <alignment horizontal="center" wrapText="1"/>
    </xf>
    <xf numFmtId="177" fontId="8" fillId="2" borderId="36" xfId="0" applyNumberFormat="1" applyFont="1" applyFill="1" applyBorder="1" applyAlignment="1">
      <alignment horizontal="center" wrapText="1"/>
    </xf>
    <xf numFmtId="177" fontId="8" fillId="2" borderId="43" xfId="0" applyNumberFormat="1" applyFont="1" applyFill="1" applyBorder="1" applyAlignment="1">
      <alignment horizontal="center" wrapText="1"/>
    </xf>
    <xf numFmtId="177" fontId="8" fillId="2" borderId="33" xfId="0" applyNumberFormat="1" applyFont="1" applyFill="1" applyBorder="1" applyAlignment="1">
      <alignment horizontal="center" wrapText="1"/>
    </xf>
    <xf numFmtId="184" fontId="8" fillId="2" borderId="70" xfId="0" applyNumberFormat="1" applyFont="1" applyFill="1" applyBorder="1" applyAlignment="1">
      <alignment horizontal="center" wrapText="1"/>
    </xf>
    <xf numFmtId="176" fontId="8" fillId="2" borderId="33" xfId="0" applyNumberFormat="1" applyFont="1" applyFill="1" applyBorder="1" applyAlignment="1">
      <alignment horizontal="center" wrapText="1"/>
    </xf>
    <xf numFmtId="2" fontId="8" fillId="2" borderId="43" xfId="0" applyNumberFormat="1" applyFont="1" applyFill="1" applyBorder="1" applyAlignment="1">
      <alignment horizontal="center" wrapText="1"/>
    </xf>
    <xf numFmtId="0" fontId="8" fillId="2" borderId="19" xfId="0" applyFont="1" applyFill="1" applyBorder="1" applyAlignment="1">
      <alignment horizontal="center" wrapText="1"/>
    </xf>
    <xf numFmtId="182" fontId="8" fillId="2" borderId="23" xfId="0" applyNumberFormat="1" applyFont="1" applyFill="1" applyBorder="1" applyAlignment="1">
      <alignment horizontal="center" wrapText="1"/>
    </xf>
    <xf numFmtId="184" fontId="8" fillId="2" borderId="84" xfId="0" applyNumberFormat="1" applyFont="1" applyFill="1" applyBorder="1" applyAlignment="1">
      <alignment horizontal="center" wrapText="1"/>
    </xf>
    <xf numFmtId="2" fontId="8" fillId="2" borderId="84" xfId="0" applyNumberFormat="1" applyFont="1" applyFill="1" applyBorder="1" applyAlignment="1">
      <alignment horizontal="center" wrapText="1"/>
    </xf>
    <xf numFmtId="0" fontId="8" fillId="2" borderId="84" xfId="0" applyFont="1" applyFill="1" applyBorder="1" applyAlignment="1">
      <alignment horizontal="center" wrapText="1"/>
    </xf>
    <xf numFmtId="2" fontId="40" fillId="2" borderId="84" xfId="0" applyNumberFormat="1" applyFont="1" applyFill="1" applyBorder="1" applyAlignment="1">
      <alignment horizontal="center" wrapText="1"/>
    </xf>
    <xf numFmtId="183" fontId="38" fillId="2" borderId="84" xfId="0" applyNumberFormat="1" applyFont="1" applyFill="1" applyBorder="1" applyAlignment="1">
      <alignment horizontal="center" wrapText="1"/>
    </xf>
    <xf numFmtId="2" fontId="8" fillId="2" borderId="91" xfId="0" applyNumberFormat="1" applyFont="1" applyFill="1" applyBorder="1" applyAlignment="1">
      <alignment horizontal="center" wrapText="1"/>
    </xf>
    <xf numFmtId="182" fontId="1" fillId="2" borderId="0" xfId="0" applyNumberFormat="1" applyFont="1" applyFill="1">
      <alignment vertical="center"/>
    </xf>
    <xf numFmtId="178" fontId="8" fillId="7" borderId="86" xfId="0" applyNumberFormat="1" applyFont="1" applyFill="1" applyBorder="1" applyAlignment="1">
      <alignment horizontal="center" wrapText="1"/>
    </xf>
    <xf numFmtId="0" fontId="6" fillId="7" borderId="85" xfId="0" applyFont="1" applyFill="1" applyBorder="1" applyAlignment="1">
      <alignment horizontal="left" wrapText="1"/>
    </xf>
    <xf numFmtId="183" fontId="8" fillId="7" borderId="86" xfId="0" applyNumberFormat="1" applyFont="1" applyFill="1" applyBorder="1" applyAlignment="1">
      <alignment horizontal="center" wrapText="1"/>
    </xf>
    <xf numFmtId="0" fontId="6" fillId="0" borderId="63" xfId="0" applyFont="1" applyBorder="1" applyAlignment="1">
      <alignment horizontal="left" wrapText="1"/>
    </xf>
    <xf numFmtId="0" fontId="6" fillId="0" borderId="21" xfId="0" applyFont="1" applyBorder="1" applyAlignment="1">
      <alignment wrapText="1"/>
    </xf>
    <xf numFmtId="0" fontId="2" fillId="0" borderId="88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/>
    </xf>
    <xf numFmtId="0" fontId="6" fillId="4" borderId="6" xfId="0" applyFont="1" applyFill="1" applyBorder="1" applyAlignment="1">
      <alignment wrapText="1"/>
    </xf>
  </cellXfs>
  <cellStyles count="33">
    <cellStyle name="百分比" xfId="4" builtinId="5"/>
    <cellStyle name="百分比 2 3" xfId="5"/>
    <cellStyle name="百分比 2 3 2" xfId="13"/>
    <cellStyle name="百分比 2 3 3" xfId="14"/>
    <cellStyle name="百分比 3" xfId="15"/>
    <cellStyle name="百分比 3 2" xfId="8"/>
    <cellStyle name="百分比 3 3" xfId="1"/>
    <cellStyle name="标题 1 2" xfId="6"/>
    <cellStyle name="标题 2 2" xfId="12"/>
    <cellStyle name="标题 3 2" xfId="16"/>
    <cellStyle name="标题 4 2" xfId="17"/>
    <cellStyle name="标题 5" xfId="3"/>
    <cellStyle name="標準_極板加工依頼書(523436)" xfId="18"/>
    <cellStyle name="差 2" xfId="19"/>
    <cellStyle name="常规" xfId="0" builtinId="0"/>
    <cellStyle name="常规 2" xfId="20"/>
    <cellStyle name="常规 2 2" xfId="9"/>
    <cellStyle name="常规 2 3" xfId="10"/>
    <cellStyle name="常规 3" xfId="21"/>
    <cellStyle name="常规 3 2" xfId="22"/>
    <cellStyle name="常规 4" xfId="23"/>
    <cellStyle name="常规 4 2" xfId="24"/>
    <cellStyle name="好 2" xfId="25"/>
    <cellStyle name="汇总 2" xfId="26"/>
    <cellStyle name="计算 2" xfId="2"/>
    <cellStyle name="检查单元格 2" xfId="27"/>
    <cellStyle name="解释性文本 2" xfId="28"/>
    <cellStyle name="警告文本 2" xfId="29"/>
    <cellStyle name="链接单元格 2" xfId="30"/>
    <cellStyle name="适中 2" xfId="11"/>
    <cellStyle name="输出 2" xfId="7"/>
    <cellStyle name="输入 2" xfId="31"/>
    <cellStyle name="注释 2" xfId="3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31752</xdr:colOff>
      <xdr:row>10</xdr:row>
      <xdr:rowOff>0</xdr:rowOff>
    </xdr:from>
    <xdr:to>
      <xdr:col>1</xdr:col>
      <xdr:colOff>1078095</xdr:colOff>
      <xdr:row>16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2627313"/>
          <a:ext cx="1046343" cy="1260475"/>
        </a:xfrm>
        <a:prstGeom prst="rect">
          <a:avLst/>
        </a:prstGeom>
      </xdr:spPr>
    </xdr:pic>
    <xdr:clientData/>
  </xdr:twoCellAnchor>
  <xdr:oneCellAnchor>
    <xdr:from>
      <xdr:col>2</xdr:col>
      <xdr:colOff>609826</xdr:colOff>
      <xdr:row>10</xdr:row>
      <xdr:rowOff>3403</xdr:rowOff>
    </xdr:from>
    <xdr:ext cx="5846280" cy="992579"/>
    <xdr:sp macro="" textlink="">
      <xdr:nvSpPr>
        <xdr:cNvPr id="3" name="矩形 2"/>
        <xdr:cNvSpPr/>
      </xdr:nvSpPr>
      <xdr:spPr>
        <a:xfrm rot="19285393">
          <a:off x="1935389" y="2630716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twoCellAnchor editAs="oneCell">
    <xdr:from>
      <xdr:col>1</xdr:col>
      <xdr:colOff>31752</xdr:colOff>
      <xdr:row>27</xdr:row>
      <xdr:rowOff>0</xdr:rowOff>
    </xdr:from>
    <xdr:to>
      <xdr:col>1</xdr:col>
      <xdr:colOff>1078095</xdr:colOff>
      <xdr:row>33</xdr:row>
      <xdr:rowOff>69850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6175375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31752</xdr:colOff>
      <xdr:row>60</xdr:row>
      <xdr:rowOff>0</xdr:rowOff>
    </xdr:from>
    <xdr:to>
      <xdr:col>1</xdr:col>
      <xdr:colOff>1078095</xdr:colOff>
      <xdr:row>66</xdr:row>
      <xdr:rowOff>61913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12549188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31752</xdr:colOff>
      <xdr:row>88</xdr:row>
      <xdr:rowOff>0</xdr:rowOff>
    </xdr:from>
    <xdr:to>
      <xdr:col>1</xdr:col>
      <xdr:colOff>1078095</xdr:colOff>
      <xdr:row>94</xdr:row>
      <xdr:rowOff>61912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17922875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23814</xdr:colOff>
      <xdr:row>116</xdr:row>
      <xdr:rowOff>0</xdr:rowOff>
    </xdr:from>
    <xdr:to>
      <xdr:col>1</xdr:col>
      <xdr:colOff>1070157</xdr:colOff>
      <xdr:row>121</xdr:row>
      <xdr:rowOff>93662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2" y="23510875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31752</xdr:colOff>
      <xdr:row>169</xdr:row>
      <xdr:rowOff>0</xdr:rowOff>
    </xdr:from>
    <xdr:to>
      <xdr:col>1</xdr:col>
      <xdr:colOff>1078095</xdr:colOff>
      <xdr:row>175</xdr:row>
      <xdr:rowOff>69850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34639250"/>
          <a:ext cx="1046343" cy="12604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31752</xdr:colOff>
      <xdr:row>200</xdr:row>
      <xdr:rowOff>0</xdr:rowOff>
    </xdr:from>
    <xdr:to>
      <xdr:col>1</xdr:col>
      <xdr:colOff>1078095</xdr:colOff>
      <xdr:row>206</xdr:row>
      <xdr:rowOff>69850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190" y="40798750"/>
          <a:ext cx="1046343" cy="1260475"/>
        </a:xfrm>
        <a:prstGeom prst="rect">
          <a:avLst/>
        </a:prstGeom>
      </xdr:spPr>
    </xdr:pic>
    <xdr:clientData/>
  </xdr:twoCellAnchor>
  <xdr:oneCellAnchor>
    <xdr:from>
      <xdr:col>2</xdr:col>
      <xdr:colOff>0</xdr:colOff>
      <xdr:row>53</xdr:row>
      <xdr:rowOff>0</xdr:rowOff>
    </xdr:from>
    <xdr:ext cx="5846280" cy="992579"/>
    <xdr:sp macro="" textlink="">
      <xdr:nvSpPr>
        <xdr:cNvPr id="10" name="矩形 9"/>
        <xdr:cNvSpPr/>
      </xdr:nvSpPr>
      <xdr:spPr>
        <a:xfrm rot="19285393">
          <a:off x="1325563" y="11152188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5</xdr:col>
      <xdr:colOff>0</xdr:colOff>
      <xdr:row>88</xdr:row>
      <xdr:rowOff>0</xdr:rowOff>
    </xdr:from>
    <xdr:ext cx="5846280" cy="992579"/>
    <xdr:sp macro="" textlink="">
      <xdr:nvSpPr>
        <xdr:cNvPr id="11" name="矩形 10"/>
        <xdr:cNvSpPr/>
      </xdr:nvSpPr>
      <xdr:spPr>
        <a:xfrm rot="19285393">
          <a:off x="5611813" y="17922875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6</xdr:col>
      <xdr:colOff>0</xdr:colOff>
      <xdr:row>129</xdr:row>
      <xdr:rowOff>0</xdr:rowOff>
    </xdr:from>
    <xdr:ext cx="5846280" cy="992579"/>
    <xdr:sp macro="" textlink="">
      <xdr:nvSpPr>
        <xdr:cNvPr id="12" name="矩形 11"/>
        <xdr:cNvSpPr/>
      </xdr:nvSpPr>
      <xdr:spPr>
        <a:xfrm rot="19285393">
          <a:off x="6850063" y="26265188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  <xdr:oneCellAnchor>
    <xdr:from>
      <xdr:col>6</xdr:col>
      <xdr:colOff>0</xdr:colOff>
      <xdr:row>188</xdr:row>
      <xdr:rowOff>0</xdr:rowOff>
    </xdr:from>
    <xdr:ext cx="5846280" cy="992579"/>
    <xdr:sp macro="" textlink="">
      <xdr:nvSpPr>
        <xdr:cNvPr id="13" name="矩形 12"/>
        <xdr:cNvSpPr/>
      </xdr:nvSpPr>
      <xdr:spPr>
        <a:xfrm rot="19285393">
          <a:off x="6850063" y="38417500"/>
          <a:ext cx="5846280" cy="992579"/>
        </a:xfrm>
        <a:prstGeom prst="rect">
          <a:avLst/>
        </a:prstGeom>
        <a:noFill/>
        <a:effectLst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锂想生活</a:t>
          </a:r>
          <a:r>
            <a:rPr lang="en-US" altLang="zh-CN" sz="5400" b="1" cap="none" spc="50">
              <a:ln w="3175" cmpd="sng">
                <a:solidFill>
                  <a:schemeClr val="bg1">
                    <a:lumMod val="95000"/>
                    <a:alpha val="10000"/>
                  </a:schemeClr>
                </a:solidFill>
                <a:prstDash val="solid"/>
              </a:ln>
              <a:solidFill>
                <a:schemeClr val="bg1">
                  <a:alpha val="0"/>
                </a:schemeClr>
              </a:solidFill>
              <a:effectLst>
                <a:glow rad="38100">
                  <a:schemeClr val="accent1">
                    <a:alpha val="40000"/>
                  </a:schemeClr>
                </a:glow>
              </a:effectLst>
            </a:rPr>
            <a:t>mikoWoo</a:t>
          </a:r>
          <a:endParaRPr lang="zh-CN" altLang="en-US" sz="5400" b="1" cap="none" spc="50">
            <a:ln w="3175" cmpd="sng">
              <a:solidFill>
                <a:schemeClr val="bg1">
                  <a:lumMod val="95000"/>
                  <a:alpha val="10000"/>
                </a:schemeClr>
              </a:solidFill>
              <a:prstDash val="solid"/>
            </a:ln>
            <a:solidFill>
              <a:schemeClr val="bg1">
                <a:alpha val="0"/>
              </a:schemeClr>
            </a:solidFill>
            <a:effectLst>
              <a:glow rad="38100">
                <a:schemeClr val="accent1">
                  <a:alpha val="40000"/>
                </a:schemeClr>
              </a:glo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212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9" sqref="I9"/>
    </sheetView>
  </sheetViews>
  <sheetFormatPr defaultColWidth="9" defaultRowHeight="15.5"/>
  <cols>
    <col min="1" max="1" width="2.58203125" style="1" customWidth="1"/>
    <col min="2" max="2" width="14.83203125" style="1" customWidth="1"/>
    <col min="3" max="3" width="27.33203125" style="1" customWidth="1"/>
    <col min="4" max="4" width="12.75" style="1" customWidth="1"/>
    <col min="5" max="6" width="16.25" style="1" customWidth="1"/>
    <col min="7" max="8" width="16.25" style="1" hidden="1" customWidth="1"/>
    <col min="9" max="9" width="16.25" style="1" customWidth="1"/>
    <col min="10" max="10" width="9.25" style="46" customWidth="1"/>
    <col min="11" max="20" width="16.25" style="1" customWidth="1"/>
    <col min="21" max="21" width="2.58203125" style="1" customWidth="1"/>
    <col min="22" max="16384" width="9" style="1"/>
  </cols>
  <sheetData>
    <row r="1" spans="2:20" ht="36" thickBot="1">
      <c r="B1" s="43" t="s">
        <v>32</v>
      </c>
      <c r="C1" s="2"/>
      <c r="D1" s="2"/>
      <c r="E1" s="2"/>
      <c r="F1" s="2"/>
      <c r="G1" s="2"/>
      <c r="H1" s="2"/>
      <c r="I1" s="2"/>
      <c r="J1" s="225"/>
      <c r="K1" s="303" t="s">
        <v>263</v>
      </c>
      <c r="L1" s="304"/>
      <c r="M1" s="304"/>
      <c r="N1" s="304"/>
      <c r="O1" s="305"/>
      <c r="P1" s="303" t="s">
        <v>264</v>
      </c>
      <c r="Q1" s="304"/>
      <c r="R1" s="304"/>
      <c r="S1" s="304"/>
      <c r="T1" s="305"/>
    </row>
    <row r="2" spans="2:20" ht="45.5" customHeight="1" thickBot="1">
      <c r="B2" s="43"/>
      <c r="C2" s="2"/>
      <c r="D2" s="2"/>
      <c r="E2" s="198" t="s">
        <v>165</v>
      </c>
      <c r="F2" s="198" t="s">
        <v>166</v>
      </c>
      <c r="G2" s="198" t="s">
        <v>167</v>
      </c>
      <c r="H2" s="198" t="s">
        <v>168</v>
      </c>
      <c r="I2" s="198" t="s">
        <v>275</v>
      </c>
      <c r="J2" s="219" t="s">
        <v>260</v>
      </c>
      <c r="K2" s="218" t="s">
        <v>265</v>
      </c>
      <c r="L2" s="218" t="s">
        <v>266</v>
      </c>
      <c r="M2" s="218" t="s">
        <v>267</v>
      </c>
      <c r="N2" s="218" t="s">
        <v>268</v>
      </c>
      <c r="O2" s="218" t="s">
        <v>269</v>
      </c>
      <c r="P2" s="218" t="s">
        <v>270</v>
      </c>
      <c r="Q2" s="218" t="s">
        <v>271</v>
      </c>
      <c r="R2" s="218" t="s">
        <v>272</v>
      </c>
      <c r="S2" s="218" t="s">
        <v>273</v>
      </c>
      <c r="T2" s="218" t="s">
        <v>274</v>
      </c>
    </row>
    <row r="3" spans="2:20">
      <c r="B3" s="44" t="s">
        <v>33</v>
      </c>
      <c r="C3" s="3" t="s">
        <v>34</v>
      </c>
      <c r="D3" s="4" t="s">
        <v>35</v>
      </c>
      <c r="E3" s="49" t="s">
        <v>23</v>
      </c>
      <c r="F3" s="49" t="s">
        <v>23</v>
      </c>
      <c r="G3" s="49" t="s">
        <v>23</v>
      </c>
      <c r="H3" s="49" t="s">
        <v>23</v>
      </c>
      <c r="I3" s="49" t="s">
        <v>23</v>
      </c>
      <c r="J3" s="226"/>
      <c r="K3" s="49" t="s">
        <v>23</v>
      </c>
      <c r="L3" s="49" t="s">
        <v>23</v>
      </c>
      <c r="M3" s="49" t="s">
        <v>23</v>
      </c>
      <c r="N3" s="49" t="s">
        <v>23</v>
      </c>
      <c r="O3" s="49" t="s">
        <v>23</v>
      </c>
      <c r="P3" s="49" t="s">
        <v>23</v>
      </c>
      <c r="Q3" s="49" t="s">
        <v>23</v>
      </c>
      <c r="R3" s="49" t="s">
        <v>23</v>
      </c>
      <c r="S3" s="49" t="s">
        <v>23</v>
      </c>
      <c r="T3" s="49" t="s">
        <v>23</v>
      </c>
    </row>
    <row r="4" spans="2:20">
      <c r="B4" s="6"/>
      <c r="C4" s="45" t="s">
        <v>36</v>
      </c>
      <c r="D4" s="7" t="s">
        <v>0</v>
      </c>
      <c r="E4" s="8">
        <f>IF(E202&gt;E204,E5,E5-(E204-E202)*1000/E59)</f>
        <v>192</v>
      </c>
      <c r="F4" s="8">
        <f>IF(F202&gt;F204,F5,F5-(F204-F202)*1000/F59)</f>
        <v>192</v>
      </c>
      <c r="G4" s="8">
        <f>IF(G202&gt;G204,G5,G5-(G204-G202)*1000/G59)</f>
        <v>192</v>
      </c>
      <c r="H4" s="8">
        <f>IF(H202&gt;H204,H5,H5-(H204-H202)*1000/H59)</f>
        <v>192</v>
      </c>
      <c r="I4" s="8">
        <f>IF(I202&gt;I204,I5,I5-(I204-I202)*1000/I59)</f>
        <v>192</v>
      </c>
      <c r="J4" s="227"/>
      <c r="K4" s="8">
        <f t="shared" ref="K4:T4" si="0">IF(K202&gt;K204,K5,K5-(K204-K202)*1000/K59)</f>
        <v>192</v>
      </c>
      <c r="L4" s="8">
        <f t="shared" si="0"/>
        <v>192</v>
      </c>
      <c r="M4" s="8">
        <f t="shared" si="0"/>
        <v>192</v>
      </c>
      <c r="N4" s="8">
        <f t="shared" si="0"/>
        <v>192</v>
      </c>
      <c r="O4" s="8">
        <f t="shared" si="0"/>
        <v>192</v>
      </c>
      <c r="P4" s="8">
        <f t="shared" si="0"/>
        <v>192</v>
      </c>
      <c r="Q4" s="8">
        <f t="shared" si="0"/>
        <v>192</v>
      </c>
      <c r="R4" s="8">
        <f t="shared" si="0"/>
        <v>192</v>
      </c>
      <c r="S4" s="8">
        <f t="shared" si="0"/>
        <v>192</v>
      </c>
      <c r="T4" s="8">
        <f t="shared" si="0"/>
        <v>192</v>
      </c>
    </row>
    <row r="5" spans="2:20">
      <c r="B5" s="6"/>
      <c r="C5" s="45" t="s">
        <v>169</v>
      </c>
      <c r="D5" s="7" t="s">
        <v>0</v>
      </c>
      <c r="E5" s="9">
        <v>192</v>
      </c>
      <c r="F5" s="9">
        <v>192</v>
      </c>
      <c r="G5" s="9">
        <v>192</v>
      </c>
      <c r="H5" s="9">
        <v>192</v>
      </c>
      <c r="I5" s="9">
        <v>192</v>
      </c>
      <c r="J5" s="228"/>
      <c r="K5" s="9">
        <v>192</v>
      </c>
      <c r="L5" s="9">
        <v>192</v>
      </c>
      <c r="M5" s="9">
        <v>192</v>
      </c>
      <c r="N5" s="9">
        <v>192</v>
      </c>
      <c r="O5" s="9">
        <v>192</v>
      </c>
      <c r="P5" s="9">
        <v>192</v>
      </c>
      <c r="Q5" s="9">
        <v>192</v>
      </c>
      <c r="R5" s="9">
        <v>192</v>
      </c>
      <c r="S5" s="9">
        <v>192</v>
      </c>
      <c r="T5" s="9">
        <v>192</v>
      </c>
    </row>
    <row r="6" spans="2:20">
      <c r="B6" s="6"/>
      <c r="C6" s="45" t="s">
        <v>170</v>
      </c>
      <c r="D6" s="7" t="s">
        <v>0</v>
      </c>
      <c r="E6" s="184">
        <f t="shared" ref="E6:I6" si="1">E5/E7</f>
        <v>208.69565217391303</v>
      </c>
      <c r="F6" s="184">
        <f t="shared" si="1"/>
        <v>208.69565217391303</v>
      </c>
      <c r="G6" s="184">
        <f t="shared" si="1"/>
        <v>208.69565217391303</v>
      </c>
      <c r="H6" s="184">
        <f t="shared" si="1"/>
        <v>208.69565217391303</v>
      </c>
      <c r="I6" s="184">
        <f t="shared" si="1"/>
        <v>208.69565217391303</v>
      </c>
      <c r="J6" s="227"/>
      <c r="K6" s="184">
        <f t="shared" ref="K6:T6" si="2">K5/K7</f>
        <v>208.69565217391303</v>
      </c>
      <c r="L6" s="184">
        <f t="shared" si="2"/>
        <v>208.69565217391303</v>
      </c>
      <c r="M6" s="184">
        <f t="shared" si="2"/>
        <v>208.69565217391303</v>
      </c>
      <c r="N6" s="184">
        <f t="shared" si="2"/>
        <v>208.69565217391303</v>
      </c>
      <c r="O6" s="184">
        <f t="shared" si="2"/>
        <v>208.69565217391303</v>
      </c>
      <c r="P6" s="184">
        <f t="shared" si="2"/>
        <v>208.69565217391303</v>
      </c>
      <c r="Q6" s="184">
        <f t="shared" si="2"/>
        <v>208.69565217391303</v>
      </c>
      <c r="R6" s="184">
        <f t="shared" si="2"/>
        <v>208.69565217391303</v>
      </c>
      <c r="S6" s="184">
        <f t="shared" si="2"/>
        <v>208.69565217391303</v>
      </c>
      <c r="T6" s="184">
        <f t="shared" si="2"/>
        <v>208.69565217391303</v>
      </c>
    </row>
    <row r="7" spans="2:20">
      <c r="B7" s="6"/>
      <c r="C7" s="45" t="s">
        <v>171</v>
      </c>
      <c r="D7" s="7" t="s">
        <v>1</v>
      </c>
      <c r="E7" s="164">
        <v>0.92</v>
      </c>
      <c r="F7" s="164">
        <v>0.92</v>
      </c>
      <c r="G7" s="164">
        <v>0.92</v>
      </c>
      <c r="H7" s="164">
        <v>0.92</v>
      </c>
      <c r="I7" s="164">
        <v>0.92</v>
      </c>
      <c r="J7" s="229"/>
      <c r="K7" s="164">
        <v>0.92</v>
      </c>
      <c r="L7" s="164">
        <v>0.92</v>
      </c>
      <c r="M7" s="164">
        <v>0.92</v>
      </c>
      <c r="N7" s="164">
        <v>0.92</v>
      </c>
      <c r="O7" s="164">
        <v>0.92</v>
      </c>
      <c r="P7" s="164">
        <v>0.92</v>
      </c>
      <c r="Q7" s="164">
        <v>0.92</v>
      </c>
      <c r="R7" s="164">
        <v>0.92</v>
      </c>
      <c r="S7" s="164">
        <v>0.92</v>
      </c>
      <c r="T7" s="164">
        <v>0.92</v>
      </c>
    </row>
    <row r="8" spans="2:20">
      <c r="B8" s="6"/>
      <c r="C8" s="10" t="s">
        <v>37</v>
      </c>
      <c r="D8" s="7" t="s">
        <v>0</v>
      </c>
      <c r="E8" s="11">
        <f>E6-E5</f>
        <v>16.695652173913032</v>
      </c>
      <c r="F8" s="11">
        <f>F6-F5</f>
        <v>16.695652173913032</v>
      </c>
      <c r="G8" s="11">
        <f>G6-G5</f>
        <v>16.695652173913032</v>
      </c>
      <c r="H8" s="11">
        <f>H6-H5</f>
        <v>16.695652173913032</v>
      </c>
      <c r="I8" s="11">
        <f>I6-I5</f>
        <v>16.695652173913032</v>
      </c>
      <c r="J8" s="230"/>
      <c r="K8" s="11">
        <f t="shared" ref="K8:T8" si="3">K6-K5</f>
        <v>16.695652173913032</v>
      </c>
      <c r="L8" s="11">
        <f t="shared" si="3"/>
        <v>16.695652173913032</v>
      </c>
      <c r="M8" s="11">
        <f t="shared" si="3"/>
        <v>16.695652173913032</v>
      </c>
      <c r="N8" s="11">
        <f t="shared" si="3"/>
        <v>16.695652173913032</v>
      </c>
      <c r="O8" s="11">
        <f t="shared" si="3"/>
        <v>16.695652173913032</v>
      </c>
      <c r="P8" s="11">
        <f t="shared" si="3"/>
        <v>16.695652173913032</v>
      </c>
      <c r="Q8" s="11">
        <f t="shared" si="3"/>
        <v>16.695652173913032</v>
      </c>
      <c r="R8" s="11">
        <f t="shared" si="3"/>
        <v>16.695652173913032</v>
      </c>
      <c r="S8" s="11">
        <f t="shared" si="3"/>
        <v>16.695652173913032</v>
      </c>
      <c r="T8" s="11">
        <f t="shared" si="3"/>
        <v>16.695652173913032</v>
      </c>
    </row>
    <row r="9" spans="2:20">
      <c r="B9" s="6"/>
      <c r="C9" s="10" t="s">
        <v>38</v>
      </c>
      <c r="D9" s="7" t="s">
        <v>2</v>
      </c>
      <c r="E9" s="12">
        <f>E4*E50*E14</f>
        <v>689.28000000000009</v>
      </c>
      <c r="F9" s="12">
        <f>F4*F50*F14</f>
        <v>689.28000000000009</v>
      </c>
      <c r="G9" s="12">
        <f>G4*G50*G14</f>
        <v>689.28000000000009</v>
      </c>
      <c r="H9" s="12">
        <f>H4*H50*H14</f>
        <v>689.28000000000009</v>
      </c>
      <c r="I9" s="12">
        <f>I4*I50*I14</f>
        <v>689.28000000000009</v>
      </c>
      <c r="J9" s="231"/>
      <c r="K9" s="12">
        <f t="shared" ref="K9:T9" si="4">K4*K50*K14</f>
        <v>689.28000000000009</v>
      </c>
      <c r="L9" s="12">
        <f t="shared" si="4"/>
        <v>689.28000000000009</v>
      </c>
      <c r="M9" s="12">
        <f t="shared" si="4"/>
        <v>689.28000000000009</v>
      </c>
      <c r="N9" s="12">
        <f t="shared" si="4"/>
        <v>689.28000000000009</v>
      </c>
      <c r="O9" s="12">
        <f t="shared" si="4"/>
        <v>689.28000000000009</v>
      </c>
      <c r="P9" s="12">
        <f t="shared" si="4"/>
        <v>575.99999999999989</v>
      </c>
      <c r="Q9" s="12">
        <f t="shared" si="4"/>
        <v>614.40000000000009</v>
      </c>
      <c r="R9" s="12">
        <f t="shared" si="4"/>
        <v>652.79999999999995</v>
      </c>
      <c r="S9" s="12">
        <f t="shared" si="4"/>
        <v>691.19999999999993</v>
      </c>
      <c r="T9" s="12">
        <f t="shared" si="4"/>
        <v>710.40000000000009</v>
      </c>
    </row>
    <row r="10" spans="2:20">
      <c r="B10" s="6"/>
      <c r="C10" s="10" t="s">
        <v>172</v>
      </c>
      <c r="D10" s="13" t="s">
        <v>3</v>
      </c>
      <c r="E10" s="135">
        <v>4.6500000000000004</v>
      </c>
      <c r="F10" s="135">
        <v>4.6500000000000004</v>
      </c>
      <c r="G10" s="135">
        <v>4.6500000000000004</v>
      </c>
      <c r="H10" s="135">
        <v>4.6500000000000004</v>
      </c>
      <c r="I10" s="135">
        <v>4.6500000000000004</v>
      </c>
      <c r="J10" s="14"/>
      <c r="K10" s="135">
        <v>4.6500000000000004</v>
      </c>
      <c r="L10" s="135">
        <v>4.6500000000000004</v>
      </c>
      <c r="M10" s="135">
        <v>4.6500000000000004</v>
      </c>
      <c r="N10" s="135">
        <v>4.6500000000000004</v>
      </c>
      <c r="O10" s="135">
        <v>4.6500000000000004</v>
      </c>
      <c r="P10" s="135">
        <v>4.6500000000000004</v>
      </c>
      <c r="Q10" s="135">
        <v>4.6500000000000004</v>
      </c>
      <c r="R10" s="135">
        <v>4.6500000000000004</v>
      </c>
      <c r="S10" s="135">
        <v>4.6500000000000004</v>
      </c>
      <c r="T10" s="135">
        <v>4.6500000000000004</v>
      </c>
    </row>
    <row r="11" spans="2:20">
      <c r="B11" s="6"/>
      <c r="C11" s="10" t="s">
        <v>39</v>
      </c>
      <c r="D11" s="13" t="s">
        <v>284</v>
      </c>
      <c r="E11" s="135">
        <v>2.0499999999999998</v>
      </c>
      <c r="F11" s="135">
        <v>2.0499999999999998</v>
      </c>
      <c r="G11" s="135">
        <v>2.0499999999999998</v>
      </c>
      <c r="H11" s="135">
        <v>2.0499999999999998</v>
      </c>
      <c r="I11" s="135">
        <v>2.0499999999999998</v>
      </c>
      <c r="J11" s="14"/>
      <c r="K11" s="135">
        <v>2.0499999999999998</v>
      </c>
      <c r="L11" s="135">
        <v>2.0499999999999998</v>
      </c>
      <c r="M11" s="135">
        <v>2.0499999999999998</v>
      </c>
      <c r="N11" s="135">
        <v>2.0499999999999998</v>
      </c>
      <c r="O11" s="135">
        <v>2.0499999999999998</v>
      </c>
      <c r="P11" s="135">
        <v>2.0499999999999998</v>
      </c>
      <c r="Q11" s="135">
        <v>2.0499999999999998</v>
      </c>
      <c r="R11" s="135">
        <v>2.0499999999999998</v>
      </c>
      <c r="S11" s="135">
        <v>2.0499999999999998</v>
      </c>
      <c r="T11" s="135">
        <v>2.0499999999999998</v>
      </c>
    </row>
    <row r="12" spans="2:20">
      <c r="B12" s="6"/>
      <c r="C12" s="10" t="s">
        <v>40</v>
      </c>
      <c r="D12" s="13" t="s">
        <v>3</v>
      </c>
      <c r="E12" s="135">
        <v>1.31</v>
      </c>
      <c r="F12" s="135">
        <v>1.31</v>
      </c>
      <c r="G12" s="135">
        <v>1.31</v>
      </c>
      <c r="H12" s="135">
        <v>1.31</v>
      </c>
      <c r="I12" s="135">
        <v>1.31</v>
      </c>
      <c r="J12" s="14"/>
      <c r="K12" s="135">
        <v>1.31</v>
      </c>
      <c r="L12" s="135">
        <v>1.31</v>
      </c>
      <c r="M12" s="135">
        <v>1.31</v>
      </c>
      <c r="N12" s="135">
        <v>1.31</v>
      </c>
      <c r="O12" s="135">
        <v>1.31</v>
      </c>
      <c r="P12" s="135">
        <v>1.31</v>
      </c>
      <c r="Q12" s="135">
        <v>1.31</v>
      </c>
      <c r="R12" s="135">
        <v>1.31</v>
      </c>
      <c r="S12" s="135">
        <v>1.31</v>
      </c>
      <c r="T12" s="135">
        <v>1.31</v>
      </c>
    </row>
    <row r="13" spans="2:20">
      <c r="B13" s="6"/>
      <c r="C13" s="10" t="s">
        <v>41</v>
      </c>
      <c r="D13" s="13" t="s">
        <v>3</v>
      </c>
      <c r="E13" s="135">
        <v>1.77</v>
      </c>
      <c r="F13" s="135">
        <v>1.77</v>
      </c>
      <c r="G13" s="135">
        <v>1.77</v>
      </c>
      <c r="H13" s="135">
        <v>1.77</v>
      </c>
      <c r="I13" s="135">
        <v>1.77</v>
      </c>
      <c r="J13" s="14"/>
      <c r="K13" s="135">
        <v>1.77</v>
      </c>
      <c r="L13" s="135">
        <v>1.77</v>
      </c>
      <c r="M13" s="135">
        <v>1.77</v>
      </c>
      <c r="N13" s="135">
        <v>1.77</v>
      </c>
      <c r="O13" s="135">
        <v>1.77</v>
      </c>
      <c r="P13" s="135">
        <v>1.77</v>
      </c>
      <c r="Q13" s="135">
        <v>1.77</v>
      </c>
      <c r="R13" s="135">
        <v>1.77</v>
      </c>
      <c r="S13" s="135">
        <v>1.77</v>
      </c>
      <c r="T13" s="135">
        <v>1.77</v>
      </c>
    </row>
    <row r="14" spans="2:20">
      <c r="B14" s="6"/>
      <c r="C14" s="15" t="s">
        <v>42</v>
      </c>
      <c r="D14" s="16" t="s">
        <v>4</v>
      </c>
      <c r="E14" s="17">
        <v>0.95</v>
      </c>
      <c r="F14" s="17">
        <v>0.95</v>
      </c>
      <c r="G14" s="17">
        <v>0.95</v>
      </c>
      <c r="H14" s="17">
        <v>0.95</v>
      </c>
      <c r="I14" s="17">
        <v>0.95</v>
      </c>
      <c r="J14" s="232"/>
      <c r="K14" s="17">
        <v>0.95</v>
      </c>
      <c r="L14" s="17">
        <v>0.95</v>
      </c>
      <c r="M14" s="17">
        <v>0.95</v>
      </c>
      <c r="N14" s="17">
        <v>0.95</v>
      </c>
      <c r="O14" s="17">
        <v>0.95</v>
      </c>
      <c r="P14" s="17">
        <v>0.95</v>
      </c>
      <c r="Q14" s="17">
        <v>0.95</v>
      </c>
      <c r="R14" s="17">
        <v>0.95</v>
      </c>
      <c r="S14" s="17">
        <v>0.95</v>
      </c>
      <c r="T14" s="17">
        <v>0.95</v>
      </c>
    </row>
    <row r="15" spans="2:20">
      <c r="B15" s="6"/>
      <c r="C15" s="47" t="s">
        <v>43</v>
      </c>
      <c r="D15" s="7" t="s">
        <v>5</v>
      </c>
      <c r="E15" s="18">
        <v>0.02</v>
      </c>
      <c r="F15" s="18">
        <v>0.02</v>
      </c>
      <c r="G15" s="18">
        <v>0.02</v>
      </c>
      <c r="H15" s="18">
        <v>0.02</v>
      </c>
      <c r="I15" s="18">
        <v>0.02</v>
      </c>
      <c r="J15" s="233"/>
      <c r="K15" s="18">
        <v>0.02</v>
      </c>
      <c r="L15" s="18">
        <v>0.02</v>
      </c>
      <c r="M15" s="18">
        <v>0.02</v>
      </c>
      <c r="N15" s="18">
        <v>0.02</v>
      </c>
      <c r="O15" s="18">
        <v>0.02</v>
      </c>
      <c r="P15" s="18">
        <v>0.02</v>
      </c>
      <c r="Q15" s="18">
        <v>0.02</v>
      </c>
      <c r="R15" s="18">
        <v>0.02</v>
      </c>
      <c r="S15" s="18">
        <v>0.02</v>
      </c>
      <c r="T15" s="18">
        <v>0.02</v>
      </c>
    </row>
    <row r="16" spans="2:20">
      <c r="B16" s="6"/>
      <c r="C16" s="47" t="s">
        <v>44</v>
      </c>
      <c r="D16" s="19" t="s">
        <v>6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233"/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</row>
    <row r="17" spans="2:20" ht="16" thickBot="1">
      <c r="B17" s="20"/>
      <c r="C17" s="21" t="s">
        <v>45</v>
      </c>
      <c r="D17" s="22" t="s">
        <v>25</v>
      </c>
      <c r="E17" s="23">
        <v>0.03</v>
      </c>
      <c r="F17" s="23">
        <v>0.03</v>
      </c>
      <c r="G17" s="23">
        <v>0.03</v>
      </c>
      <c r="H17" s="23">
        <v>0.03</v>
      </c>
      <c r="I17" s="23">
        <v>0.03</v>
      </c>
      <c r="J17" s="234"/>
      <c r="K17" s="23">
        <v>0.03</v>
      </c>
      <c r="L17" s="23">
        <v>0.03</v>
      </c>
      <c r="M17" s="23">
        <v>0.03</v>
      </c>
      <c r="N17" s="23">
        <v>0.03</v>
      </c>
      <c r="O17" s="23">
        <v>0.03</v>
      </c>
      <c r="P17" s="23">
        <v>0.03</v>
      </c>
      <c r="Q17" s="23">
        <v>0.03</v>
      </c>
      <c r="R17" s="23">
        <v>0.03</v>
      </c>
      <c r="S17" s="23">
        <v>0.03</v>
      </c>
      <c r="T17" s="23">
        <v>0.03</v>
      </c>
    </row>
    <row r="18" spans="2:20">
      <c r="B18" s="48" t="s">
        <v>46</v>
      </c>
      <c r="C18" s="15" t="s">
        <v>47</v>
      </c>
      <c r="D18" s="215" t="s">
        <v>35</v>
      </c>
      <c r="E18" s="212" t="s">
        <v>259</v>
      </c>
      <c r="F18" s="212" t="s">
        <v>259</v>
      </c>
      <c r="G18" s="212" t="s">
        <v>259</v>
      </c>
      <c r="H18" s="212" t="s">
        <v>259</v>
      </c>
      <c r="I18" s="212" t="s">
        <v>259</v>
      </c>
      <c r="J18" s="235"/>
      <c r="K18" s="212" t="s">
        <v>259</v>
      </c>
      <c r="L18" s="212" t="s">
        <v>259</v>
      </c>
      <c r="M18" s="212" t="s">
        <v>259</v>
      </c>
      <c r="N18" s="212" t="s">
        <v>259</v>
      </c>
      <c r="O18" s="212" t="s">
        <v>259</v>
      </c>
      <c r="P18" s="212" t="s">
        <v>259</v>
      </c>
      <c r="Q18" s="212" t="s">
        <v>259</v>
      </c>
      <c r="R18" s="212" t="s">
        <v>259</v>
      </c>
      <c r="S18" s="212" t="s">
        <v>259</v>
      </c>
      <c r="T18" s="212" t="s">
        <v>259</v>
      </c>
    </row>
    <row r="19" spans="2:20">
      <c r="B19" s="24"/>
      <c r="C19" s="10" t="s">
        <v>48</v>
      </c>
      <c r="D19" s="216" t="s">
        <v>35</v>
      </c>
      <c r="E19" s="25" t="s">
        <v>24</v>
      </c>
      <c r="F19" s="25" t="s">
        <v>24</v>
      </c>
      <c r="G19" s="25" t="s">
        <v>24</v>
      </c>
      <c r="H19" s="25" t="s">
        <v>24</v>
      </c>
      <c r="I19" s="25" t="s">
        <v>24</v>
      </c>
      <c r="J19" s="236"/>
      <c r="K19" s="25" t="s">
        <v>24</v>
      </c>
      <c r="L19" s="25" t="s">
        <v>24</v>
      </c>
      <c r="M19" s="25" t="s">
        <v>24</v>
      </c>
      <c r="N19" s="25" t="s">
        <v>24</v>
      </c>
      <c r="O19" s="25" t="s">
        <v>24</v>
      </c>
      <c r="P19" s="25" t="s">
        <v>24</v>
      </c>
      <c r="Q19" s="25" t="s">
        <v>24</v>
      </c>
      <c r="R19" s="25" t="s">
        <v>24</v>
      </c>
      <c r="S19" s="25" t="s">
        <v>24</v>
      </c>
      <c r="T19" s="25" t="s">
        <v>24</v>
      </c>
    </row>
    <row r="20" spans="2:20">
      <c r="B20" s="24"/>
      <c r="C20" s="10" t="s">
        <v>49</v>
      </c>
      <c r="D20" s="216" t="s">
        <v>1</v>
      </c>
      <c r="E20" s="36">
        <v>0.96499999999999997</v>
      </c>
      <c r="F20" s="36">
        <v>0.96499999999999997</v>
      </c>
      <c r="G20" s="36">
        <v>0.96499999999999997</v>
      </c>
      <c r="H20" s="36">
        <v>0.96499999999999997</v>
      </c>
      <c r="I20" s="36">
        <v>0.96499999999999997</v>
      </c>
      <c r="J20" s="237"/>
      <c r="K20" s="36">
        <v>0.96499999999999997</v>
      </c>
      <c r="L20" s="36">
        <v>0.96499999999999997</v>
      </c>
      <c r="M20" s="36">
        <v>0.96499999999999997</v>
      </c>
      <c r="N20" s="36">
        <v>0.96499999999999997</v>
      </c>
      <c r="O20" s="36">
        <v>0.96499999999999997</v>
      </c>
      <c r="P20" s="36">
        <v>0.96499999999999997</v>
      </c>
      <c r="Q20" s="36">
        <v>0.96499999999999997</v>
      </c>
      <c r="R20" s="36">
        <v>0.96499999999999997</v>
      </c>
      <c r="S20" s="36">
        <v>0.96499999999999997</v>
      </c>
      <c r="T20" s="36">
        <v>0.96499999999999997</v>
      </c>
    </row>
    <row r="21" spans="2:20">
      <c r="B21" s="24"/>
      <c r="C21" s="15" t="s">
        <v>50</v>
      </c>
      <c r="D21" s="26" t="s">
        <v>1</v>
      </c>
      <c r="E21" s="40">
        <v>3.5000000000000003E-2</v>
      </c>
      <c r="F21" s="40">
        <v>3.5000000000000003E-2</v>
      </c>
      <c r="G21" s="40">
        <v>3.5000000000000003E-2</v>
      </c>
      <c r="H21" s="40">
        <v>3.5000000000000003E-2</v>
      </c>
      <c r="I21" s="40">
        <v>3.5000000000000003E-2</v>
      </c>
      <c r="J21" s="238"/>
      <c r="K21" s="40">
        <v>3.5000000000000003E-2</v>
      </c>
      <c r="L21" s="40">
        <v>3.5000000000000003E-2</v>
      </c>
      <c r="M21" s="40">
        <v>3.5000000000000003E-2</v>
      </c>
      <c r="N21" s="40">
        <v>3.5000000000000003E-2</v>
      </c>
      <c r="O21" s="40">
        <v>3.5000000000000003E-2</v>
      </c>
      <c r="P21" s="40">
        <v>3.5000000000000003E-2</v>
      </c>
      <c r="Q21" s="40">
        <v>3.5000000000000003E-2</v>
      </c>
      <c r="R21" s="40">
        <v>3.5000000000000003E-2</v>
      </c>
      <c r="S21" s="40">
        <v>3.5000000000000003E-2</v>
      </c>
      <c r="T21" s="40">
        <v>3.5000000000000003E-2</v>
      </c>
    </row>
    <row r="22" spans="2:20">
      <c r="B22" s="24"/>
      <c r="C22" s="10" t="s">
        <v>51</v>
      </c>
      <c r="D22" s="27" t="s">
        <v>0</v>
      </c>
      <c r="E22" s="165">
        <f>E23/E24</f>
        <v>444.33333333333331</v>
      </c>
      <c r="F22" s="165">
        <f>F23/F24</f>
        <v>444.33333333333331</v>
      </c>
      <c r="G22" s="165">
        <f>G23/G24</f>
        <v>444.33333333333331</v>
      </c>
      <c r="H22" s="165">
        <f>H23/H24</f>
        <v>444.33333333333331</v>
      </c>
      <c r="I22" s="165">
        <f>I23/I24</f>
        <v>444.33333333333331</v>
      </c>
      <c r="J22" s="165"/>
      <c r="K22" s="165">
        <f t="shared" ref="K22:T22" si="5">K23/K24</f>
        <v>444.33333333333331</v>
      </c>
      <c r="L22" s="165">
        <f t="shared" si="5"/>
        <v>444.33333333333331</v>
      </c>
      <c r="M22" s="165">
        <f t="shared" si="5"/>
        <v>444.33333333333331</v>
      </c>
      <c r="N22" s="165">
        <f t="shared" si="5"/>
        <v>444.33333333333331</v>
      </c>
      <c r="O22" s="165">
        <f t="shared" si="5"/>
        <v>444.33333333333331</v>
      </c>
      <c r="P22" s="165">
        <f t="shared" si="5"/>
        <v>444.33333333333331</v>
      </c>
      <c r="Q22" s="165">
        <f t="shared" si="5"/>
        <v>444.33333333333331</v>
      </c>
      <c r="R22" s="165">
        <f t="shared" si="5"/>
        <v>444.33333333333331</v>
      </c>
      <c r="S22" s="165">
        <f t="shared" si="5"/>
        <v>444.33333333333331</v>
      </c>
      <c r="T22" s="165">
        <f t="shared" si="5"/>
        <v>444.33333333333331</v>
      </c>
    </row>
    <row r="23" spans="2:20">
      <c r="B23" s="24"/>
      <c r="C23" s="10" t="s">
        <v>52</v>
      </c>
      <c r="D23" s="27" t="s">
        <v>0</v>
      </c>
      <c r="E23" s="165">
        <f>360*E20+1500*E21</f>
        <v>399.9</v>
      </c>
      <c r="F23" s="165">
        <f>360*F20+1500*F21</f>
        <v>399.9</v>
      </c>
      <c r="G23" s="165">
        <f>360*G20+1500*G21</f>
        <v>399.9</v>
      </c>
      <c r="H23" s="165">
        <f>360*H20+1500*H21</f>
        <v>399.9</v>
      </c>
      <c r="I23" s="165">
        <f>360*I20+1500*I21</f>
        <v>399.9</v>
      </c>
      <c r="J23" s="165"/>
      <c r="K23" s="165">
        <f t="shared" ref="K23:T23" si="6">360*K20+1500*K21</f>
        <v>399.9</v>
      </c>
      <c r="L23" s="165">
        <f t="shared" si="6"/>
        <v>399.9</v>
      </c>
      <c r="M23" s="165">
        <f t="shared" si="6"/>
        <v>399.9</v>
      </c>
      <c r="N23" s="165">
        <f t="shared" si="6"/>
        <v>399.9</v>
      </c>
      <c r="O23" s="165">
        <f t="shared" si="6"/>
        <v>399.9</v>
      </c>
      <c r="P23" s="165">
        <f t="shared" si="6"/>
        <v>399.9</v>
      </c>
      <c r="Q23" s="165">
        <f t="shared" si="6"/>
        <v>399.9</v>
      </c>
      <c r="R23" s="165">
        <f t="shared" si="6"/>
        <v>399.9</v>
      </c>
      <c r="S23" s="165">
        <f t="shared" si="6"/>
        <v>399.9</v>
      </c>
      <c r="T23" s="165">
        <f t="shared" si="6"/>
        <v>399.9</v>
      </c>
    </row>
    <row r="24" spans="2:20">
      <c r="B24" s="24"/>
      <c r="C24" s="10" t="s">
        <v>53</v>
      </c>
      <c r="D24" s="27" t="s">
        <v>1</v>
      </c>
      <c r="E24" s="28">
        <v>0.9</v>
      </c>
      <c r="F24" s="28">
        <v>0.9</v>
      </c>
      <c r="G24" s="28">
        <v>0.9</v>
      </c>
      <c r="H24" s="28">
        <v>0.9</v>
      </c>
      <c r="I24" s="28">
        <v>0.9</v>
      </c>
      <c r="J24" s="237"/>
      <c r="K24" s="28">
        <v>0.9</v>
      </c>
      <c r="L24" s="28">
        <v>0.9</v>
      </c>
      <c r="M24" s="28">
        <v>0.9</v>
      </c>
      <c r="N24" s="28">
        <v>0.9</v>
      </c>
      <c r="O24" s="28">
        <v>0.9</v>
      </c>
      <c r="P24" s="28">
        <v>0.9</v>
      </c>
      <c r="Q24" s="28">
        <v>0.9</v>
      </c>
      <c r="R24" s="28">
        <v>0.9</v>
      </c>
      <c r="S24" s="28">
        <v>0.9</v>
      </c>
      <c r="T24" s="28">
        <v>0.9</v>
      </c>
    </row>
    <row r="25" spans="2:20" ht="28.5">
      <c r="B25" s="24"/>
      <c r="C25" s="10" t="s">
        <v>173</v>
      </c>
      <c r="D25" s="27" t="s">
        <v>0</v>
      </c>
      <c r="E25" s="29">
        <f>E4*E47*E14/E79/E34</f>
        <v>355.60998010102554</v>
      </c>
      <c r="F25" s="29">
        <f>F4*F47*F14/F79/F34</f>
        <v>355.641499864183</v>
      </c>
      <c r="G25" s="29">
        <f>G4*G47*G14/G79/G34</f>
        <v>355.641499864183</v>
      </c>
      <c r="H25" s="29">
        <f>H4*H47*H14/H79/H34</f>
        <v>355.641499864183</v>
      </c>
      <c r="I25" s="29">
        <f>I4*I47*I14/I79/I34</f>
        <v>355.64149986418306</v>
      </c>
      <c r="J25" s="239"/>
      <c r="K25" s="29">
        <f t="shared" ref="K25:T25" si="7">K4*K47*K14/K79/K34</f>
        <v>355.641499864183</v>
      </c>
      <c r="L25" s="29">
        <f t="shared" si="7"/>
        <v>355.641499864183</v>
      </c>
      <c r="M25" s="29">
        <f t="shared" si="7"/>
        <v>355.64149986418306</v>
      </c>
      <c r="N25" s="29">
        <f t="shared" si="7"/>
        <v>355.641499864183</v>
      </c>
      <c r="O25" s="29">
        <f t="shared" si="7"/>
        <v>355.641499864183</v>
      </c>
      <c r="P25" s="29">
        <f t="shared" si="7"/>
        <v>355.641499864183</v>
      </c>
      <c r="Q25" s="29">
        <f t="shared" si="7"/>
        <v>355.641499864183</v>
      </c>
      <c r="R25" s="29">
        <f t="shared" si="7"/>
        <v>355.641499864183</v>
      </c>
      <c r="S25" s="29">
        <f t="shared" si="7"/>
        <v>355.641499864183</v>
      </c>
      <c r="T25" s="29">
        <f t="shared" si="7"/>
        <v>355.641499864183</v>
      </c>
    </row>
    <row r="26" spans="2:20">
      <c r="B26" s="24"/>
      <c r="C26" s="10" t="s">
        <v>37</v>
      </c>
      <c r="D26" s="30" t="s">
        <v>0</v>
      </c>
      <c r="E26" s="185">
        <f>E23-E22</f>
        <v>-44.433333333333337</v>
      </c>
      <c r="F26" s="185">
        <f>F23-F22</f>
        <v>-44.433333333333337</v>
      </c>
      <c r="G26" s="185">
        <f>G23-G22</f>
        <v>-44.433333333333337</v>
      </c>
      <c r="H26" s="185">
        <f>H23-H22</f>
        <v>-44.433333333333337</v>
      </c>
      <c r="I26" s="185">
        <f>I23-I22</f>
        <v>-44.433333333333337</v>
      </c>
      <c r="J26" s="239"/>
      <c r="K26" s="185">
        <f t="shared" ref="K26:T26" si="8">K23-K22</f>
        <v>-44.433333333333337</v>
      </c>
      <c r="L26" s="185">
        <f t="shared" si="8"/>
        <v>-44.433333333333337</v>
      </c>
      <c r="M26" s="185">
        <f t="shared" si="8"/>
        <v>-44.433333333333337</v>
      </c>
      <c r="N26" s="185">
        <f t="shared" si="8"/>
        <v>-44.433333333333337</v>
      </c>
      <c r="O26" s="185">
        <f t="shared" si="8"/>
        <v>-44.433333333333337</v>
      </c>
      <c r="P26" s="185">
        <f t="shared" si="8"/>
        <v>-44.433333333333337</v>
      </c>
      <c r="Q26" s="185">
        <f t="shared" si="8"/>
        <v>-44.433333333333337</v>
      </c>
      <c r="R26" s="185">
        <f t="shared" si="8"/>
        <v>-44.433333333333337</v>
      </c>
      <c r="S26" s="185">
        <f t="shared" si="8"/>
        <v>-44.433333333333337</v>
      </c>
      <c r="T26" s="185">
        <f t="shared" si="8"/>
        <v>-44.433333333333337</v>
      </c>
    </row>
    <row r="27" spans="2:20">
      <c r="B27" s="24"/>
      <c r="C27" s="50" t="s">
        <v>54</v>
      </c>
      <c r="D27" s="31" t="s">
        <v>2</v>
      </c>
      <c r="E27" s="32">
        <f>E22*E84*E34</f>
        <v>663.83399999999995</v>
      </c>
      <c r="F27" s="32">
        <f>F22*F84*F34</f>
        <v>663.83399999999995</v>
      </c>
      <c r="G27" s="32">
        <f>G22*G84*G34</f>
        <v>663.83399999999995</v>
      </c>
      <c r="H27" s="32">
        <f>H22*H84*H34</f>
        <v>663.83399999999995</v>
      </c>
      <c r="I27" s="32">
        <f>I22*I84*I34</f>
        <v>663.83399999999995</v>
      </c>
      <c r="J27" s="240"/>
      <c r="K27" s="32">
        <f t="shared" ref="K27:T27" si="9">K22*K84*K34</f>
        <v>663.83399999999995</v>
      </c>
      <c r="L27" s="32">
        <f t="shared" si="9"/>
        <v>663.83399999999995</v>
      </c>
      <c r="M27" s="32">
        <f t="shared" si="9"/>
        <v>663.83399999999995</v>
      </c>
      <c r="N27" s="32">
        <f t="shared" si="9"/>
        <v>663.83399999999995</v>
      </c>
      <c r="O27" s="32">
        <f t="shared" si="9"/>
        <v>663.83399999999995</v>
      </c>
      <c r="P27" s="32">
        <f t="shared" si="9"/>
        <v>663.83399999999995</v>
      </c>
      <c r="Q27" s="32">
        <f t="shared" si="9"/>
        <v>663.83399999999995</v>
      </c>
      <c r="R27" s="32">
        <f t="shared" si="9"/>
        <v>663.83399999999995</v>
      </c>
      <c r="S27" s="32">
        <f t="shared" si="9"/>
        <v>663.83399999999995</v>
      </c>
      <c r="T27" s="32">
        <f t="shared" si="9"/>
        <v>663.83399999999995</v>
      </c>
    </row>
    <row r="28" spans="2:20">
      <c r="B28" s="24"/>
      <c r="C28" s="10" t="s">
        <v>55</v>
      </c>
      <c r="D28" s="33" t="s">
        <v>26</v>
      </c>
      <c r="E28" s="34">
        <v>2.2000000000000002</v>
      </c>
      <c r="F28" s="34">
        <v>2.2000000000000002</v>
      </c>
      <c r="G28" s="34">
        <v>2.2000000000000002</v>
      </c>
      <c r="H28" s="34">
        <v>2.2000000000000002</v>
      </c>
      <c r="I28" s="34">
        <v>2.2000000000000002</v>
      </c>
      <c r="J28" s="39"/>
      <c r="K28" s="34">
        <v>2.2000000000000002</v>
      </c>
      <c r="L28" s="34">
        <v>2.2000000000000002</v>
      </c>
      <c r="M28" s="34">
        <v>2.2000000000000002</v>
      </c>
      <c r="N28" s="34">
        <v>2.2000000000000002</v>
      </c>
      <c r="O28" s="34">
        <v>2.2000000000000002</v>
      </c>
      <c r="P28" s="34">
        <v>2.2000000000000002</v>
      </c>
      <c r="Q28" s="34">
        <v>2.2000000000000002</v>
      </c>
      <c r="R28" s="34">
        <v>2.2000000000000002</v>
      </c>
      <c r="S28" s="34">
        <v>2.2000000000000002</v>
      </c>
      <c r="T28" s="34">
        <v>2.2000000000000002</v>
      </c>
    </row>
    <row r="29" spans="2:20">
      <c r="B29" s="24"/>
      <c r="C29" s="10" t="s">
        <v>56</v>
      </c>
      <c r="D29" s="33" t="s">
        <v>5</v>
      </c>
      <c r="E29" s="34">
        <v>2.0499999999999998</v>
      </c>
      <c r="F29" s="34">
        <v>2.0499999999999998</v>
      </c>
      <c r="G29" s="34">
        <v>2.0499999999999998</v>
      </c>
      <c r="H29" s="34">
        <v>2.0499999999999998</v>
      </c>
      <c r="I29" s="34">
        <v>2.0499999999999998</v>
      </c>
      <c r="J29" s="39"/>
      <c r="K29" s="34">
        <v>2.0499999999999998</v>
      </c>
      <c r="L29" s="34">
        <v>2.0499999999999998</v>
      </c>
      <c r="M29" s="34">
        <v>2.0499999999999998</v>
      </c>
      <c r="N29" s="34">
        <v>2.0499999999999998</v>
      </c>
      <c r="O29" s="34">
        <v>2.0499999999999998</v>
      </c>
      <c r="P29" s="34">
        <v>2.0499999999999998</v>
      </c>
      <c r="Q29" s="34">
        <v>2.0499999999999998</v>
      </c>
      <c r="R29" s="34">
        <v>2.0499999999999998</v>
      </c>
      <c r="S29" s="34">
        <v>2.0499999999999998</v>
      </c>
      <c r="T29" s="34">
        <v>2.0499999999999998</v>
      </c>
    </row>
    <row r="30" spans="2:20">
      <c r="B30" s="24"/>
      <c r="C30" s="10" t="s">
        <v>57</v>
      </c>
      <c r="D30" s="33" t="s">
        <v>6</v>
      </c>
      <c r="E30" s="34">
        <v>1.31</v>
      </c>
      <c r="F30" s="34">
        <v>1.31</v>
      </c>
      <c r="G30" s="34">
        <v>1.31</v>
      </c>
      <c r="H30" s="34">
        <v>1.31</v>
      </c>
      <c r="I30" s="34">
        <v>1.31</v>
      </c>
      <c r="J30" s="39"/>
      <c r="K30" s="34">
        <v>1.31</v>
      </c>
      <c r="L30" s="34">
        <v>1.31</v>
      </c>
      <c r="M30" s="34">
        <v>1.31</v>
      </c>
      <c r="N30" s="34">
        <v>1.31</v>
      </c>
      <c r="O30" s="34">
        <v>1.31</v>
      </c>
      <c r="P30" s="34">
        <v>1.31</v>
      </c>
      <c r="Q30" s="34">
        <v>1.31</v>
      </c>
      <c r="R30" s="34">
        <v>1.31</v>
      </c>
      <c r="S30" s="34">
        <v>1.31</v>
      </c>
      <c r="T30" s="34">
        <v>1.31</v>
      </c>
    </row>
    <row r="31" spans="2:20">
      <c r="B31" s="24"/>
      <c r="C31" s="10" t="s">
        <v>58</v>
      </c>
      <c r="D31" s="33" t="s">
        <v>8</v>
      </c>
      <c r="E31" s="34">
        <v>1.28</v>
      </c>
      <c r="F31" s="34">
        <v>1.28</v>
      </c>
      <c r="G31" s="34">
        <v>1.28</v>
      </c>
      <c r="H31" s="34">
        <v>1.28</v>
      </c>
      <c r="I31" s="34">
        <v>1.28</v>
      </c>
      <c r="J31" s="39"/>
      <c r="K31" s="34">
        <v>1.28</v>
      </c>
      <c r="L31" s="34">
        <v>1.28</v>
      </c>
      <c r="M31" s="34">
        <v>1.28</v>
      </c>
      <c r="N31" s="34">
        <v>1.28</v>
      </c>
      <c r="O31" s="34">
        <v>1.28</v>
      </c>
      <c r="P31" s="34">
        <v>1.28</v>
      </c>
      <c r="Q31" s="34">
        <v>1.28</v>
      </c>
      <c r="R31" s="34">
        <v>1.28</v>
      </c>
      <c r="S31" s="34">
        <v>1.28</v>
      </c>
      <c r="T31" s="34">
        <v>1.28</v>
      </c>
    </row>
    <row r="32" spans="2:20">
      <c r="B32" s="24"/>
      <c r="C32" s="10" t="s">
        <v>59</v>
      </c>
      <c r="D32" s="33" t="s">
        <v>9</v>
      </c>
      <c r="E32" s="34">
        <v>1</v>
      </c>
      <c r="F32" s="34">
        <v>1</v>
      </c>
      <c r="G32" s="34">
        <v>1</v>
      </c>
      <c r="H32" s="34">
        <v>1</v>
      </c>
      <c r="I32" s="34">
        <v>1</v>
      </c>
      <c r="J32" s="39"/>
      <c r="K32" s="34">
        <v>1</v>
      </c>
      <c r="L32" s="34">
        <v>1</v>
      </c>
      <c r="M32" s="34">
        <v>1</v>
      </c>
      <c r="N32" s="34">
        <v>1</v>
      </c>
      <c r="O32" s="34">
        <v>1</v>
      </c>
      <c r="P32" s="34">
        <v>1</v>
      </c>
      <c r="Q32" s="34">
        <v>1</v>
      </c>
      <c r="R32" s="34">
        <v>1</v>
      </c>
      <c r="S32" s="34">
        <v>1</v>
      </c>
      <c r="T32" s="34">
        <v>1</v>
      </c>
    </row>
    <row r="33" spans="2:20">
      <c r="B33" s="24"/>
      <c r="C33" s="10" t="s">
        <v>60</v>
      </c>
      <c r="D33" s="33" t="s">
        <v>10</v>
      </c>
      <c r="E33" s="34">
        <v>1</v>
      </c>
      <c r="F33" s="34">
        <v>1</v>
      </c>
      <c r="G33" s="34">
        <v>1</v>
      </c>
      <c r="H33" s="34">
        <v>1</v>
      </c>
      <c r="I33" s="34">
        <v>1</v>
      </c>
      <c r="J33" s="39"/>
      <c r="K33" s="34">
        <v>1</v>
      </c>
      <c r="L33" s="34">
        <v>1</v>
      </c>
      <c r="M33" s="34">
        <v>1</v>
      </c>
      <c r="N33" s="34">
        <v>1</v>
      </c>
      <c r="O33" s="34">
        <v>1</v>
      </c>
      <c r="P33" s="34">
        <v>1</v>
      </c>
      <c r="Q33" s="34">
        <v>1</v>
      </c>
      <c r="R33" s="34">
        <v>1</v>
      </c>
      <c r="S33" s="34">
        <v>1</v>
      </c>
      <c r="T33" s="34">
        <v>1</v>
      </c>
    </row>
    <row r="34" spans="2:20">
      <c r="B34" s="24"/>
      <c r="C34" s="10" t="s">
        <v>61</v>
      </c>
      <c r="D34" s="33" t="s">
        <v>26</v>
      </c>
      <c r="E34" s="35">
        <v>0.95</v>
      </c>
      <c r="F34" s="35">
        <v>0.95</v>
      </c>
      <c r="G34" s="35">
        <v>0.95</v>
      </c>
      <c r="H34" s="35">
        <v>0.95</v>
      </c>
      <c r="I34" s="35">
        <v>0.95</v>
      </c>
      <c r="J34" s="241"/>
      <c r="K34" s="35">
        <v>0.95</v>
      </c>
      <c r="L34" s="35">
        <v>0.95</v>
      </c>
      <c r="M34" s="35">
        <v>0.95</v>
      </c>
      <c r="N34" s="35">
        <v>0.95</v>
      </c>
      <c r="O34" s="35">
        <v>0.95</v>
      </c>
      <c r="P34" s="35">
        <v>0.95</v>
      </c>
      <c r="Q34" s="35">
        <v>0.95</v>
      </c>
      <c r="R34" s="35">
        <v>0.95</v>
      </c>
      <c r="S34" s="35">
        <v>0.95</v>
      </c>
      <c r="T34" s="35">
        <v>0.95</v>
      </c>
    </row>
    <row r="35" spans="2:20">
      <c r="B35" s="24"/>
      <c r="C35" s="10" t="s">
        <v>62</v>
      </c>
      <c r="D35" s="33" t="s">
        <v>5</v>
      </c>
      <c r="E35" s="35">
        <v>0.01</v>
      </c>
      <c r="F35" s="35">
        <v>0.01</v>
      </c>
      <c r="G35" s="35">
        <v>0.01</v>
      </c>
      <c r="H35" s="35">
        <v>0.01</v>
      </c>
      <c r="I35" s="35">
        <v>0.01</v>
      </c>
      <c r="J35" s="241"/>
      <c r="K35" s="35">
        <v>0.01</v>
      </c>
      <c r="L35" s="35">
        <v>0.01</v>
      </c>
      <c r="M35" s="35">
        <v>0.01</v>
      </c>
      <c r="N35" s="35">
        <v>0.01</v>
      </c>
      <c r="O35" s="35">
        <v>0.01</v>
      </c>
      <c r="P35" s="35">
        <v>0.01</v>
      </c>
      <c r="Q35" s="35">
        <v>0.01</v>
      </c>
      <c r="R35" s="35">
        <v>0.01</v>
      </c>
      <c r="S35" s="35">
        <v>0.01</v>
      </c>
      <c r="T35" s="35">
        <v>0.01</v>
      </c>
    </row>
    <row r="36" spans="2:20">
      <c r="B36" s="24"/>
      <c r="C36" s="10" t="s">
        <v>63</v>
      </c>
      <c r="D36" s="33" t="s">
        <v>6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241"/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2:20">
      <c r="B37" s="24"/>
      <c r="C37" s="50" t="s">
        <v>64</v>
      </c>
      <c r="D37" s="51" t="s">
        <v>8</v>
      </c>
      <c r="E37" s="36">
        <v>1.4999999999999999E-2</v>
      </c>
      <c r="F37" s="36">
        <v>1.4999999999999999E-2</v>
      </c>
      <c r="G37" s="36">
        <v>1.4999999999999999E-2</v>
      </c>
      <c r="H37" s="36">
        <v>1.4999999999999999E-2</v>
      </c>
      <c r="I37" s="36">
        <v>1.4999999999999999E-2</v>
      </c>
      <c r="J37" s="237"/>
      <c r="K37" s="36">
        <v>1.4999999999999999E-2</v>
      </c>
      <c r="L37" s="36">
        <v>1.4999999999999999E-2</v>
      </c>
      <c r="M37" s="36">
        <v>1.4999999999999999E-2</v>
      </c>
      <c r="N37" s="36">
        <v>1.4999999999999999E-2</v>
      </c>
      <c r="O37" s="36">
        <v>1.4999999999999999E-2</v>
      </c>
      <c r="P37" s="36">
        <v>1.4999999999999999E-2</v>
      </c>
      <c r="Q37" s="36">
        <v>1.4999999999999999E-2</v>
      </c>
      <c r="R37" s="36">
        <v>1.4999999999999999E-2</v>
      </c>
      <c r="S37" s="36">
        <v>1.4999999999999999E-2</v>
      </c>
      <c r="T37" s="36">
        <v>1.4999999999999999E-2</v>
      </c>
    </row>
    <row r="38" spans="2:20">
      <c r="B38" s="24"/>
      <c r="C38" s="52" t="s">
        <v>65</v>
      </c>
      <c r="D38" s="51" t="s">
        <v>9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242"/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</row>
    <row r="39" spans="2:20" ht="16" thickBot="1">
      <c r="B39" s="24"/>
      <c r="C39" s="52" t="s">
        <v>66</v>
      </c>
      <c r="D39" s="53" t="s">
        <v>10</v>
      </c>
      <c r="E39" s="38">
        <v>2.5000000000000001E-2</v>
      </c>
      <c r="F39" s="38">
        <v>2.5000000000000001E-2</v>
      </c>
      <c r="G39" s="38">
        <v>2.5000000000000001E-2</v>
      </c>
      <c r="H39" s="38">
        <v>2.5000000000000001E-2</v>
      </c>
      <c r="I39" s="38">
        <v>2.5000000000000001E-2</v>
      </c>
      <c r="J39" s="243"/>
      <c r="K39" s="38">
        <v>2.5000000000000001E-2</v>
      </c>
      <c r="L39" s="38">
        <v>2.5000000000000001E-2</v>
      </c>
      <c r="M39" s="38">
        <v>2.5000000000000001E-2</v>
      </c>
      <c r="N39" s="38">
        <v>2.5000000000000001E-2</v>
      </c>
      <c r="O39" s="38">
        <v>2.5000000000000001E-2</v>
      </c>
      <c r="P39" s="38">
        <v>2.5000000000000001E-2</v>
      </c>
      <c r="Q39" s="38">
        <v>2.5000000000000001E-2</v>
      </c>
      <c r="R39" s="38">
        <v>2.5000000000000001E-2</v>
      </c>
      <c r="S39" s="38">
        <v>2.5000000000000001E-2</v>
      </c>
      <c r="T39" s="38">
        <v>2.5000000000000001E-2</v>
      </c>
    </row>
    <row r="40" spans="2:20">
      <c r="B40" s="54" t="s">
        <v>174</v>
      </c>
      <c r="C40" s="55" t="s">
        <v>67</v>
      </c>
      <c r="D40" s="56" t="s">
        <v>11</v>
      </c>
      <c r="E40" s="57">
        <v>63</v>
      </c>
      <c r="F40" s="57">
        <f>F69-F105</f>
        <v>63</v>
      </c>
      <c r="G40" s="57">
        <f>G69-G105</f>
        <v>58.000000000000007</v>
      </c>
      <c r="H40" s="57">
        <f>H69-H105</f>
        <v>73</v>
      </c>
      <c r="I40" s="57">
        <f>I69-I105</f>
        <v>72</v>
      </c>
      <c r="J40" s="244"/>
      <c r="K40" s="57">
        <f t="shared" ref="K40:T40" si="10">K69-K105</f>
        <v>72</v>
      </c>
      <c r="L40" s="57">
        <f t="shared" si="10"/>
        <v>72</v>
      </c>
      <c r="M40" s="57">
        <f t="shared" si="10"/>
        <v>72</v>
      </c>
      <c r="N40" s="57">
        <f t="shared" si="10"/>
        <v>72</v>
      </c>
      <c r="O40" s="57">
        <f t="shared" si="10"/>
        <v>72</v>
      </c>
      <c r="P40" s="57">
        <f t="shared" si="10"/>
        <v>72</v>
      </c>
      <c r="Q40" s="57">
        <f t="shared" si="10"/>
        <v>72</v>
      </c>
      <c r="R40" s="57">
        <f t="shared" si="10"/>
        <v>72</v>
      </c>
      <c r="S40" s="57">
        <f t="shared" si="10"/>
        <v>72</v>
      </c>
      <c r="T40" s="57">
        <f t="shared" si="10"/>
        <v>72</v>
      </c>
    </row>
    <row r="41" spans="2:20">
      <c r="B41" s="58"/>
      <c r="C41" s="59" t="s">
        <v>175</v>
      </c>
      <c r="D41" s="60" t="s">
        <v>11</v>
      </c>
      <c r="E41" s="61">
        <v>865</v>
      </c>
      <c r="F41" s="61">
        <f>F128</f>
        <v>864.78272717076868</v>
      </c>
      <c r="G41" s="61">
        <f>G128</f>
        <v>626.61276722764592</v>
      </c>
      <c r="H41" s="61">
        <f>H128</f>
        <v>4319.676887007704</v>
      </c>
      <c r="I41" s="61">
        <f>I128</f>
        <v>4974.4070699091671</v>
      </c>
      <c r="J41" s="220"/>
      <c r="K41" s="61">
        <f t="shared" ref="K41:T41" si="11">K128</f>
        <v>7663.5484950373602</v>
      </c>
      <c r="L41" s="61">
        <f t="shared" si="11"/>
        <v>5525.0505778576426</v>
      </c>
      <c r="M41" s="61">
        <f t="shared" si="11"/>
        <v>4974.4070699091671</v>
      </c>
      <c r="N41" s="61">
        <f t="shared" si="11"/>
        <v>3546.0676790825978</v>
      </c>
      <c r="O41" s="61">
        <f t="shared" si="11"/>
        <v>3007.4763196446925</v>
      </c>
      <c r="P41" s="61">
        <f t="shared" si="11"/>
        <v>4019.4030434652768</v>
      </c>
      <c r="Q41" s="61">
        <f t="shared" si="11"/>
        <v>4128.5431378083849</v>
      </c>
      <c r="R41" s="61">
        <f t="shared" si="11"/>
        <v>4229.8864767581726</v>
      </c>
      <c r="S41" s="61">
        <f t="shared" si="11"/>
        <v>4324.23971795139</v>
      </c>
      <c r="T41" s="61">
        <f t="shared" si="11"/>
        <v>4369.0172213939259</v>
      </c>
    </row>
    <row r="42" spans="2:20" ht="42.5" hidden="1">
      <c r="B42" s="199" t="s">
        <v>176</v>
      </c>
      <c r="C42" s="194" t="s">
        <v>177</v>
      </c>
      <c r="D42" s="195" t="s">
        <v>11</v>
      </c>
      <c r="E42" s="196">
        <v>6</v>
      </c>
      <c r="F42" s="196">
        <v>6</v>
      </c>
      <c r="G42" s="196">
        <v>6</v>
      </c>
      <c r="H42" s="196">
        <v>23</v>
      </c>
      <c r="I42" s="196">
        <v>0</v>
      </c>
      <c r="J42" s="220"/>
      <c r="K42" s="196">
        <v>0</v>
      </c>
      <c r="L42" s="196">
        <v>0</v>
      </c>
      <c r="M42" s="196">
        <v>0</v>
      </c>
      <c r="N42" s="196">
        <v>0</v>
      </c>
      <c r="O42" s="196">
        <v>0</v>
      </c>
      <c r="P42" s="196">
        <v>0</v>
      </c>
      <c r="Q42" s="196">
        <v>0</v>
      </c>
      <c r="R42" s="196">
        <v>0</v>
      </c>
      <c r="S42" s="196">
        <v>0</v>
      </c>
      <c r="T42" s="196">
        <v>0</v>
      </c>
    </row>
    <row r="43" spans="2:20">
      <c r="B43" s="199"/>
      <c r="C43" s="299" t="s">
        <v>276</v>
      </c>
      <c r="D43" s="195"/>
      <c r="E43" s="298"/>
      <c r="F43" s="298"/>
      <c r="G43" s="298"/>
      <c r="H43" s="298"/>
      <c r="I43" s="298">
        <v>5</v>
      </c>
      <c r="J43" s="220"/>
      <c r="K43" s="298">
        <v>5</v>
      </c>
      <c r="L43" s="298">
        <v>5</v>
      </c>
      <c r="M43" s="298">
        <v>5</v>
      </c>
      <c r="N43" s="298">
        <v>5</v>
      </c>
      <c r="O43" s="298">
        <v>5</v>
      </c>
      <c r="P43" s="298">
        <v>5</v>
      </c>
      <c r="Q43" s="298">
        <v>5</v>
      </c>
      <c r="R43" s="298">
        <v>5</v>
      </c>
      <c r="S43" s="298">
        <v>5</v>
      </c>
      <c r="T43" s="298">
        <v>5</v>
      </c>
    </row>
    <row r="44" spans="2:20" ht="16" thickBot="1">
      <c r="B44" s="58"/>
      <c r="C44" s="62" t="s">
        <v>178</v>
      </c>
      <c r="D44" s="60" t="s">
        <v>11</v>
      </c>
      <c r="E44" s="166">
        <f>E41-E42</f>
        <v>859</v>
      </c>
      <c r="F44" s="166">
        <f>F41-F42</f>
        <v>858.78272717076868</v>
      </c>
      <c r="G44" s="166">
        <f>G41-G42</f>
        <v>620.61276722764592</v>
      </c>
      <c r="H44" s="166">
        <f>H41-H42</f>
        <v>4296.676887007704</v>
      </c>
      <c r="I44" s="166">
        <f>I41</f>
        <v>4974.4070699091671</v>
      </c>
      <c r="J44" s="220">
        <f>J42/I40</f>
        <v>0</v>
      </c>
      <c r="K44" s="166">
        <f t="shared" ref="K44:T44" si="12">K41</f>
        <v>7663.5484950373602</v>
      </c>
      <c r="L44" s="166">
        <f t="shared" si="12"/>
        <v>5525.0505778576426</v>
      </c>
      <c r="M44" s="166">
        <f t="shared" si="12"/>
        <v>4974.4070699091671</v>
      </c>
      <c r="N44" s="166">
        <f t="shared" si="12"/>
        <v>3546.0676790825978</v>
      </c>
      <c r="O44" s="166">
        <f t="shared" si="12"/>
        <v>3007.4763196446925</v>
      </c>
      <c r="P44" s="166">
        <f t="shared" si="12"/>
        <v>4019.4030434652768</v>
      </c>
      <c r="Q44" s="166">
        <f t="shared" si="12"/>
        <v>4128.5431378083849</v>
      </c>
      <c r="R44" s="166">
        <f t="shared" si="12"/>
        <v>4229.8864767581726</v>
      </c>
      <c r="S44" s="166">
        <f t="shared" si="12"/>
        <v>4324.23971795139</v>
      </c>
      <c r="T44" s="166">
        <f t="shared" si="12"/>
        <v>4369.0172213939259</v>
      </c>
    </row>
    <row r="45" spans="2:20">
      <c r="B45" s="58"/>
      <c r="C45" s="55" t="s">
        <v>179</v>
      </c>
      <c r="D45" s="56" t="s">
        <v>14</v>
      </c>
      <c r="E45" s="63">
        <f>E40*E44*2</f>
        <v>108234</v>
      </c>
      <c r="F45" s="63">
        <f>F40*F44*2</f>
        <v>108206.62362351685</v>
      </c>
      <c r="G45" s="63">
        <f>G40*G44*2</f>
        <v>71991.080998406935</v>
      </c>
      <c r="H45" s="63">
        <f>H40*H44*2</f>
        <v>627314.82550312474</v>
      </c>
      <c r="I45" s="63">
        <f>I40*I44*2</f>
        <v>716314.61806692008</v>
      </c>
      <c r="J45" s="245"/>
      <c r="K45" s="63">
        <f t="shared" ref="K45:T45" si="13">K40*K44*2</f>
        <v>1103550.9832853798</v>
      </c>
      <c r="L45" s="63">
        <f t="shared" si="13"/>
        <v>795607.2832115005</v>
      </c>
      <c r="M45" s="63">
        <f t="shared" si="13"/>
        <v>716314.61806692008</v>
      </c>
      <c r="N45" s="63">
        <f t="shared" si="13"/>
        <v>510633.74578789406</v>
      </c>
      <c r="O45" s="63">
        <f t="shared" si="13"/>
        <v>433076.59002883569</v>
      </c>
      <c r="P45" s="63">
        <f t="shared" si="13"/>
        <v>578794.03825899982</v>
      </c>
      <c r="Q45" s="63">
        <f t="shared" si="13"/>
        <v>594510.21184440749</v>
      </c>
      <c r="R45" s="63">
        <f t="shared" si="13"/>
        <v>609103.6526531768</v>
      </c>
      <c r="S45" s="63">
        <f t="shared" si="13"/>
        <v>622690.51938500023</v>
      </c>
      <c r="T45" s="63">
        <f t="shared" si="13"/>
        <v>629138.47988072527</v>
      </c>
    </row>
    <row r="46" spans="2:20">
      <c r="B46" s="58"/>
      <c r="C46" s="62" t="s">
        <v>180</v>
      </c>
      <c r="D46" s="60" t="s">
        <v>12</v>
      </c>
      <c r="E46" s="166">
        <f>E47+E48</f>
        <v>52.494999999999997</v>
      </c>
      <c r="F46" s="166">
        <f>F47+F48</f>
        <v>52.494999999999997</v>
      </c>
      <c r="G46" s="166">
        <f>G47+G48</f>
        <v>52.494999999999997</v>
      </c>
      <c r="H46" s="166">
        <f>H47+H48</f>
        <v>52.494999999999997</v>
      </c>
      <c r="I46" s="166">
        <f>I47+I48</f>
        <v>45.195</v>
      </c>
      <c r="J46" s="220"/>
      <c r="K46" s="166">
        <f t="shared" ref="K46:T46" si="14">K47+K48</f>
        <v>28.295000000000002</v>
      </c>
      <c r="L46" s="166">
        <f t="shared" si="14"/>
        <v>40.394999999999996</v>
      </c>
      <c r="M46" s="166">
        <f t="shared" si="14"/>
        <v>45.195</v>
      </c>
      <c r="N46" s="166">
        <f t="shared" si="14"/>
        <v>64.594999999999999</v>
      </c>
      <c r="O46" s="166">
        <f t="shared" si="14"/>
        <v>76.694999999999993</v>
      </c>
      <c r="P46" s="166">
        <f t="shared" si="14"/>
        <v>52.494999999999997</v>
      </c>
      <c r="Q46" s="166">
        <f t="shared" si="14"/>
        <v>52.494999999999997</v>
      </c>
      <c r="R46" s="166">
        <f t="shared" si="14"/>
        <v>52.494999999999997</v>
      </c>
      <c r="S46" s="166">
        <f t="shared" si="14"/>
        <v>52.494999999999997</v>
      </c>
      <c r="T46" s="166">
        <f t="shared" si="14"/>
        <v>52.494999999999997</v>
      </c>
    </row>
    <row r="47" spans="2:20">
      <c r="B47" s="58"/>
      <c r="C47" s="62" t="s">
        <v>181</v>
      </c>
      <c r="D47" s="60" t="s">
        <v>12</v>
      </c>
      <c r="E47" s="128">
        <v>48.4</v>
      </c>
      <c r="F47" s="128">
        <v>48.4</v>
      </c>
      <c r="G47" s="128">
        <v>48.4</v>
      </c>
      <c r="H47" s="128">
        <v>48.4</v>
      </c>
      <c r="I47" s="128">
        <v>41.1</v>
      </c>
      <c r="J47" s="246"/>
      <c r="K47" s="128">
        <v>24.2</v>
      </c>
      <c r="L47" s="128">
        <v>36.299999999999997</v>
      </c>
      <c r="M47" s="128">
        <v>41.1</v>
      </c>
      <c r="N47" s="128">
        <v>60.5</v>
      </c>
      <c r="O47" s="128">
        <v>72.599999999999994</v>
      </c>
      <c r="P47" s="128">
        <v>48.4</v>
      </c>
      <c r="Q47" s="128">
        <v>48.4</v>
      </c>
      <c r="R47" s="128">
        <v>48.4</v>
      </c>
      <c r="S47" s="128">
        <v>48.4</v>
      </c>
      <c r="T47" s="128">
        <v>48.4</v>
      </c>
    </row>
    <row r="48" spans="2:20">
      <c r="B48" s="58"/>
      <c r="C48" s="62" t="s">
        <v>68</v>
      </c>
      <c r="D48" s="60" t="s">
        <v>12</v>
      </c>
      <c r="E48" s="64">
        <f>E63*E55*0.0001*1000</f>
        <v>4.0950000000000006</v>
      </c>
      <c r="F48" s="64">
        <f>F63*F55*0.0001*1000</f>
        <v>4.0950000000000006</v>
      </c>
      <c r="G48" s="64">
        <f>G63*G55*0.0001*1000</f>
        <v>4.0950000000000006</v>
      </c>
      <c r="H48" s="64">
        <f>H63*H55*0.0001*1000</f>
        <v>4.0950000000000006</v>
      </c>
      <c r="I48" s="64">
        <f>I63*I55*0.0001*1000</f>
        <v>4.0950000000000006</v>
      </c>
      <c r="J48" s="246"/>
      <c r="K48" s="64">
        <f t="shared" ref="K48:T48" si="15">K63*K55*0.0001*1000</f>
        <v>4.0950000000000006</v>
      </c>
      <c r="L48" s="64">
        <f t="shared" si="15"/>
        <v>4.0950000000000006</v>
      </c>
      <c r="M48" s="64">
        <f t="shared" si="15"/>
        <v>4.0950000000000006</v>
      </c>
      <c r="N48" s="64">
        <f t="shared" si="15"/>
        <v>4.0950000000000006</v>
      </c>
      <c r="O48" s="64">
        <f t="shared" si="15"/>
        <v>4.0950000000000006</v>
      </c>
      <c r="P48" s="64">
        <f t="shared" si="15"/>
        <v>4.0950000000000006</v>
      </c>
      <c r="Q48" s="64">
        <f t="shared" si="15"/>
        <v>4.0950000000000006</v>
      </c>
      <c r="R48" s="64">
        <f t="shared" si="15"/>
        <v>4.0950000000000006</v>
      </c>
      <c r="S48" s="64">
        <f t="shared" si="15"/>
        <v>4.0950000000000006</v>
      </c>
      <c r="T48" s="64">
        <f t="shared" si="15"/>
        <v>4.0950000000000006</v>
      </c>
    </row>
    <row r="49" spans="2:20">
      <c r="B49" s="58"/>
      <c r="C49" s="62" t="s">
        <v>69</v>
      </c>
      <c r="D49" s="60" t="s">
        <v>3</v>
      </c>
      <c r="E49" s="65">
        <v>3.59</v>
      </c>
      <c r="F49" s="65">
        <v>3.59</v>
      </c>
      <c r="G49" s="65">
        <v>3.59</v>
      </c>
      <c r="H49" s="65">
        <v>3.59</v>
      </c>
      <c r="I49" s="65">
        <v>3.59</v>
      </c>
      <c r="J49" s="247"/>
      <c r="K49" s="65">
        <v>3.59</v>
      </c>
      <c r="L49" s="65">
        <v>3.59</v>
      </c>
      <c r="M49" s="65">
        <v>3.59</v>
      </c>
      <c r="N49" s="65">
        <v>3.59</v>
      </c>
      <c r="O49" s="65">
        <v>3.59</v>
      </c>
      <c r="P49" s="65">
        <v>3</v>
      </c>
      <c r="Q49" s="65">
        <v>3.2</v>
      </c>
      <c r="R49" s="65">
        <v>3.4</v>
      </c>
      <c r="S49" s="65">
        <v>3.6</v>
      </c>
      <c r="T49" s="65">
        <v>3.7</v>
      </c>
    </row>
    <row r="50" spans="2:20">
      <c r="B50" s="58"/>
      <c r="C50" s="62" t="s">
        <v>70</v>
      </c>
      <c r="D50" s="60" t="s">
        <v>3</v>
      </c>
      <c r="E50" s="66">
        <f>E49/E14</f>
        <v>3.7789473684210528</v>
      </c>
      <c r="F50" s="66">
        <f>F49/F14</f>
        <v>3.7789473684210528</v>
      </c>
      <c r="G50" s="66">
        <f>G49/G14</f>
        <v>3.7789473684210528</v>
      </c>
      <c r="H50" s="66">
        <f>H49/H14</f>
        <v>3.7789473684210528</v>
      </c>
      <c r="I50" s="66">
        <f>I49/I14</f>
        <v>3.7789473684210528</v>
      </c>
      <c r="J50" s="247"/>
      <c r="K50" s="66">
        <f t="shared" ref="K50:T50" si="16">K49/K14</f>
        <v>3.7789473684210528</v>
      </c>
      <c r="L50" s="66">
        <f t="shared" si="16"/>
        <v>3.7789473684210528</v>
      </c>
      <c r="M50" s="66">
        <f t="shared" si="16"/>
        <v>3.7789473684210528</v>
      </c>
      <c r="N50" s="66">
        <f t="shared" si="16"/>
        <v>3.7789473684210528</v>
      </c>
      <c r="O50" s="66">
        <f t="shared" si="16"/>
        <v>3.7789473684210528</v>
      </c>
      <c r="P50" s="66">
        <f t="shared" si="16"/>
        <v>3.1578947368421053</v>
      </c>
      <c r="Q50" s="66">
        <f t="shared" si="16"/>
        <v>3.3684210526315792</v>
      </c>
      <c r="R50" s="66">
        <f t="shared" si="16"/>
        <v>3.5789473684210527</v>
      </c>
      <c r="S50" s="66">
        <f t="shared" si="16"/>
        <v>3.7894736842105265</v>
      </c>
      <c r="T50" s="66">
        <f t="shared" si="16"/>
        <v>3.8947368421052637</v>
      </c>
    </row>
    <row r="51" spans="2:20">
      <c r="B51" s="67"/>
      <c r="C51" s="62" t="s">
        <v>71</v>
      </c>
      <c r="D51" s="60" t="s">
        <v>3</v>
      </c>
      <c r="E51" s="64">
        <f>1/(E14/E10+E15/E11+E16/E12+E17/E13)</f>
        <v>4.3288857930142699</v>
      </c>
      <c r="F51" s="64">
        <f>1/(F14/F10+F15/F11+F16/F12+F17/F13)</f>
        <v>4.3288857930142699</v>
      </c>
      <c r="G51" s="64">
        <f>1/(G14/G10+G15/G11+G16/G12+G17/G13)</f>
        <v>4.3288857930142699</v>
      </c>
      <c r="H51" s="64">
        <f>1/(H14/H10+H15/H11+H16/H12+H17/H13)</f>
        <v>4.3288857930142699</v>
      </c>
      <c r="I51" s="64">
        <f>1/(I14/I10+I15/I11+I16/I12+I17/I13)</f>
        <v>4.3288857930142699</v>
      </c>
      <c r="J51" s="246"/>
      <c r="K51" s="64">
        <f t="shared" ref="K51:T51" si="17">1/(K14/K10+K15/K11+K16/K12+K17/K13)</f>
        <v>4.3288857930142699</v>
      </c>
      <c r="L51" s="64">
        <f t="shared" si="17"/>
        <v>4.3288857930142699</v>
      </c>
      <c r="M51" s="64">
        <f t="shared" si="17"/>
        <v>4.3288857930142699</v>
      </c>
      <c r="N51" s="64">
        <f t="shared" si="17"/>
        <v>4.3288857930142699</v>
      </c>
      <c r="O51" s="64">
        <f t="shared" si="17"/>
        <v>4.3288857930142699</v>
      </c>
      <c r="P51" s="64">
        <f t="shared" si="17"/>
        <v>4.3288857930142699</v>
      </c>
      <c r="Q51" s="64">
        <f t="shared" si="17"/>
        <v>4.3288857930142699</v>
      </c>
      <c r="R51" s="64">
        <f t="shared" si="17"/>
        <v>4.3288857930142699</v>
      </c>
      <c r="S51" s="64">
        <f t="shared" si="17"/>
        <v>4.3288857930142699</v>
      </c>
      <c r="T51" s="64">
        <f t="shared" si="17"/>
        <v>4.3288857930142699</v>
      </c>
    </row>
    <row r="52" spans="2:20">
      <c r="B52" s="58"/>
      <c r="C52" s="62" t="s">
        <v>72</v>
      </c>
      <c r="D52" s="60" t="s">
        <v>1</v>
      </c>
      <c r="E52" s="68">
        <v>0.01</v>
      </c>
      <c r="F52" s="68">
        <v>0.01</v>
      </c>
      <c r="G52" s="68">
        <v>0.01</v>
      </c>
      <c r="H52" s="68">
        <v>0.01</v>
      </c>
      <c r="I52" s="68">
        <v>0.01</v>
      </c>
      <c r="J52" s="248"/>
      <c r="K52" s="68">
        <v>0.01</v>
      </c>
      <c r="L52" s="68">
        <v>0.01</v>
      </c>
      <c r="M52" s="68">
        <v>0.01</v>
      </c>
      <c r="N52" s="68">
        <v>0.01</v>
      </c>
      <c r="O52" s="68">
        <v>0.01</v>
      </c>
      <c r="P52" s="68">
        <v>0.01</v>
      </c>
      <c r="Q52" s="68">
        <v>0.01</v>
      </c>
      <c r="R52" s="68">
        <v>0.01</v>
      </c>
      <c r="S52" s="68">
        <v>0.01</v>
      </c>
      <c r="T52" s="68">
        <v>0.01</v>
      </c>
    </row>
    <row r="53" spans="2:20">
      <c r="B53" s="58"/>
      <c r="C53" s="62" t="s">
        <v>73</v>
      </c>
      <c r="D53" s="60" t="s">
        <v>13</v>
      </c>
      <c r="E53" s="94">
        <f t="shared" ref="E53:I53" si="18">E54/(1+E52)</f>
        <v>141.5874926369284</v>
      </c>
      <c r="F53" s="94">
        <f t="shared" si="18"/>
        <v>141.5874926369284</v>
      </c>
      <c r="G53" s="94">
        <f t="shared" si="18"/>
        <v>141.5874926369284</v>
      </c>
      <c r="H53" s="94">
        <f t="shared" si="18"/>
        <v>141.5874926369284</v>
      </c>
      <c r="I53" s="94">
        <f t="shared" si="18"/>
        <v>122.46120674928676</v>
      </c>
      <c r="J53" s="221"/>
      <c r="K53" s="94">
        <f t="shared" ref="K53:T53" si="19">K54/(1+K52)</f>
        <v>78.182544899814872</v>
      </c>
      <c r="L53" s="94">
        <f t="shared" si="19"/>
        <v>109.88501876837165</v>
      </c>
      <c r="M53" s="94">
        <f t="shared" si="19"/>
        <v>122.46120674928676</v>
      </c>
      <c r="N53" s="94">
        <f t="shared" si="19"/>
        <v>173.28996650548521</v>
      </c>
      <c r="O53" s="94">
        <f t="shared" si="19"/>
        <v>204.99244037404196</v>
      </c>
      <c r="P53" s="94">
        <f t="shared" si="19"/>
        <v>166.5267720801931</v>
      </c>
      <c r="Q53" s="94">
        <f t="shared" si="19"/>
        <v>157.04244864784988</v>
      </c>
      <c r="R53" s="94">
        <f t="shared" si="19"/>
        <v>148.67392797225287</v>
      </c>
      <c r="S53" s="94">
        <f t="shared" si="19"/>
        <v>141.2352429272778</v>
      </c>
      <c r="T53" s="94">
        <f t="shared" si="19"/>
        <v>137.81746871742436</v>
      </c>
    </row>
    <row r="54" spans="2:20">
      <c r="B54" s="58"/>
      <c r="C54" s="62" t="s">
        <v>74</v>
      </c>
      <c r="D54" s="60" t="s">
        <v>13</v>
      </c>
      <c r="E54" s="163">
        <f>E47/E50*10000/1000+E57</f>
        <v>143.0033675632977</v>
      </c>
      <c r="F54" s="163">
        <f>F47/F50*10000/1000+F57</f>
        <v>143.0033675632977</v>
      </c>
      <c r="G54" s="163">
        <f>G47/G50*10000/1000+G57</f>
        <v>143.0033675632977</v>
      </c>
      <c r="H54" s="163">
        <f>H47/H50*10000/1000+H57</f>
        <v>143.0033675632977</v>
      </c>
      <c r="I54" s="163">
        <f>I47/I50*10000/1000+I57</f>
        <v>123.68581881677963</v>
      </c>
      <c r="J54" s="221"/>
      <c r="K54" s="163">
        <f t="shared" ref="K54:T54" si="20">K47/K50*10000/1000+K57</f>
        <v>78.96437034881302</v>
      </c>
      <c r="L54" s="163">
        <f t="shared" si="20"/>
        <v>110.98386895605537</v>
      </c>
      <c r="M54" s="163">
        <f t="shared" si="20"/>
        <v>123.68581881677963</v>
      </c>
      <c r="N54" s="163">
        <f t="shared" si="20"/>
        <v>175.02286617054006</v>
      </c>
      <c r="O54" s="163">
        <f t="shared" si="20"/>
        <v>207.04236477778238</v>
      </c>
      <c r="P54" s="163">
        <f t="shared" si="20"/>
        <v>168.19203980099502</v>
      </c>
      <c r="Q54" s="163">
        <f t="shared" si="20"/>
        <v>158.61287313432837</v>
      </c>
      <c r="R54" s="163">
        <f t="shared" si="20"/>
        <v>150.16066725197541</v>
      </c>
      <c r="S54" s="163">
        <f t="shared" si="20"/>
        <v>142.64759535655057</v>
      </c>
      <c r="T54" s="163">
        <f t="shared" si="20"/>
        <v>139.1956434045986</v>
      </c>
    </row>
    <row r="55" spans="2:20">
      <c r="B55" s="58"/>
      <c r="C55" s="62" t="s">
        <v>75</v>
      </c>
      <c r="D55" s="60" t="s">
        <v>13</v>
      </c>
      <c r="E55" s="69">
        <v>15</v>
      </c>
      <c r="F55" s="69">
        <v>15</v>
      </c>
      <c r="G55" s="69">
        <v>15</v>
      </c>
      <c r="H55" s="69">
        <v>15</v>
      </c>
      <c r="I55" s="69">
        <v>15</v>
      </c>
      <c r="J55" s="222"/>
      <c r="K55" s="69">
        <v>15</v>
      </c>
      <c r="L55" s="69">
        <v>15</v>
      </c>
      <c r="M55" s="69">
        <v>15</v>
      </c>
      <c r="N55" s="69">
        <v>15</v>
      </c>
      <c r="O55" s="69">
        <v>15</v>
      </c>
      <c r="P55" s="69">
        <v>15</v>
      </c>
      <c r="Q55" s="69">
        <v>15</v>
      </c>
      <c r="R55" s="69">
        <v>15</v>
      </c>
      <c r="S55" s="69">
        <v>15</v>
      </c>
      <c r="T55" s="69">
        <v>15</v>
      </c>
    </row>
    <row r="56" spans="2:20">
      <c r="B56" s="58"/>
      <c r="C56" s="70" t="s">
        <v>76</v>
      </c>
      <c r="D56" s="60" t="s">
        <v>1</v>
      </c>
      <c r="E56" s="71">
        <v>5.0000000000000001E-3</v>
      </c>
      <c r="F56" s="71">
        <v>5.0000000000000001E-3</v>
      </c>
      <c r="G56" s="71">
        <v>5.0000000000000001E-3</v>
      </c>
      <c r="H56" s="71">
        <v>5.0000000000000001E-3</v>
      </c>
      <c r="I56" s="71">
        <v>5.0000000000000001E-3</v>
      </c>
      <c r="J56" s="249"/>
      <c r="K56" s="71">
        <v>5.0000000000000001E-3</v>
      </c>
      <c r="L56" s="71">
        <v>5.0000000000000001E-3</v>
      </c>
      <c r="M56" s="71">
        <v>5.0000000000000001E-3</v>
      </c>
      <c r="N56" s="71">
        <v>5.0000000000000001E-3</v>
      </c>
      <c r="O56" s="71">
        <v>5.0000000000000001E-3</v>
      </c>
      <c r="P56" s="71">
        <v>5.0000000000000001E-3</v>
      </c>
      <c r="Q56" s="71">
        <v>5.0000000000000001E-3</v>
      </c>
      <c r="R56" s="71">
        <v>5.0000000000000001E-3</v>
      </c>
      <c r="S56" s="71">
        <v>5.0000000000000001E-3</v>
      </c>
      <c r="T56" s="71">
        <v>5.0000000000000001E-3</v>
      </c>
    </row>
    <row r="57" spans="2:20" ht="16" thickBot="1">
      <c r="B57" s="58"/>
      <c r="C57" s="72" t="s">
        <v>77</v>
      </c>
      <c r="D57" s="73" t="s">
        <v>3</v>
      </c>
      <c r="E57" s="74">
        <f>E55/(1+E56)</f>
        <v>14.92537313432836</v>
      </c>
      <c r="F57" s="74">
        <f>F55/(1+F56)</f>
        <v>14.92537313432836</v>
      </c>
      <c r="G57" s="74">
        <f>G55/(1+G56)</f>
        <v>14.92537313432836</v>
      </c>
      <c r="H57" s="74">
        <f>H55/(1+H56)</f>
        <v>14.92537313432836</v>
      </c>
      <c r="I57" s="74">
        <f>I55/(1+I56)</f>
        <v>14.92537313432836</v>
      </c>
      <c r="J57" s="250"/>
      <c r="K57" s="74">
        <f t="shared" ref="K57:T57" si="21">K55/(1+K56)</f>
        <v>14.92537313432836</v>
      </c>
      <c r="L57" s="74">
        <f t="shared" si="21"/>
        <v>14.92537313432836</v>
      </c>
      <c r="M57" s="74">
        <f t="shared" si="21"/>
        <v>14.92537313432836</v>
      </c>
      <c r="N57" s="74">
        <f t="shared" si="21"/>
        <v>14.92537313432836</v>
      </c>
      <c r="O57" s="74">
        <f t="shared" si="21"/>
        <v>14.92537313432836</v>
      </c>
      <c r="P57" s="74">
        <f t="shared" si="21"/>
        <v>14.92537313432836</v>
      </c>
      <c r="Q57" s="74">
        <f t="shared" si="21"/>
        <v>14.92537313432836</v>
      </c>
      <c r="R57" s="74">
        <f t="shared" si="21"/>
        <v>14.92537313432836</v>
      </c>
      <c r="S57" s="74">
        <f t="shared" si="21"/>
        <v>14.92537313432836</v>
      </c>
      <c r="T57" s="74">
        <f t="shared" si="21"/>
        <v>14.92537313432836</v>
      </c>
    </row>
    <row r="58" spans="2:20">
      <c r="B58" s="58"/>
      <c r="C58" s="75" t="s">
        <v>78</v>
      </c>
      <c r="D58" s="76" t="s">
        <v>15</v>
      </c>
      <c r="E58" s="77">
        <f>E47/2/1000*E45/100</f>
        <v>26.192627999999999</v>
      </c>
      <c r="F58" s="77">
        <f>F47/2/1000*F45/100</f>
        <v>26.186002916891074</v>
      </c>
      <c r="G58" s="77">
        <f>G47/2/1000*G45/100</f>
        <v>17.421841601614478</v>
      </c>
      <c r="H58" s="77">
        <f>H47/2/1000*H45/100</f>
        <v>151.8101877717562</v>
      </c>
      <c r="I58" s="77">
        <f>I47/2/1000*I45/100</f>
        <v>147.20265401275211</v>
      </c>
      <c r="J58" s="251"/>
      <c r="K58" s="77">
        <f t="shared" ref="K58:T58" si="22">K47/2/1000*K45/100</f>
        <v>133.52966897753097</v>
      </c>
      <c r="L58" s="77">
        <f t="shared" si="22"/>
        <v>144.40272190288732</v>
      </c>
      <c r="M58" s="77">
        <f t="shared" si="22"/>
        <v>147.20265401275211</v>
      </c>
      <c r="N58" s="77">
        <f t="shared" si="22"/>
        <v>154.46670810083796</v>
      </c>
      <c r="O58" s="77">
        <f t="shared" si="22"/>
        <v>157.20680218046735</v>
      </c>
      <c r="P58" s="77">
        <f t="shared" si="22"/>
        <v>140.06815725867796</v>
      </c>
      <c r="Q58" s="77">
        <f t="shared" si="22"/>
        <v>143.87147126634662</v>
      </c>
      <c r="R58" s="77">
        <f t="shared" si="22"/>
        <v>147.40308394206878</v>
      </c>
      <c r="S58" s="77">
        <f t="shared" si="22"/>
        <v>150.69110569117004</v>
      </c>
      <c r="T58" s="77">
        <f t="shared" si="22"/>
        <v>152.25151213113551</v>
      </c>
    </row>
    <row r="59" spans="2:20">
      <c r="B59" s="78"/>
      <c r="C59" s="79" t="s">
        <v>79</v>
      </c>
      <c r="D59" s="80" t="s">
        <v>15</v>
      </c>
      <c r="E59" s="81">
        <f>E58*E14</f>
        <v>24.882996599999998</v>
      </c>
      <c r="F59" s="81">
        <f>F58*F14</f>
        <v>24.876702771046517</v>
      </c>
      <c r="G59" s="81">
        <f>G58*G14</f>
        <v>16.550749521533753</v>
      </c>
      <c r="H59" s="81">
        <f>H58*H14</f>
        <v>144.2196783831684</v>
      </c>
      <c r="I59" s="81">
        <f>I58*I14</f>
        <v>139.84252131211448</v>
      </c>
      <c r="J59" s="252"/>
      <c r="K59" s="81">
        <f t="shared" ref="K59:T59" si="23">K58*K14</f>
        <v>126.85318552865442</v>
      </c>
      <c r="L59" s="81">
        <f t="shared" si="23"/>
        <v>137.18258580774295</v>
      </c>
      <c r="M59" s="81">
        <f t="shared" si="23"/>
        <v>139.84252131211448</v>
      </c>
      <c r="N59" s="81">
        <f t="shared" si="23"/>
        <v>146.74337269579607</v>
      </c>
      <c r="O59" s="81">
        <f t="shared" si="23"/>
        <v>149.34646207144397</v>
      </c>
      <c r="P59" s="81">
        <f t="shared" si="23"/>
        <v>133.06474939574406</v>
      </c>
      <c r="Q59" s="81">
        <f t="shared" si="23"/>
        <v>136.67789770302929</v>
      </c>
      <c r="R59" s="81">
        <f t="shared" si="23"/>
        <v>140.03292974496534</v>
      </c>
      <c r="S59" s="81">
        <f t="shared" si="23"/>
        <v>143.15655040661153</v>
      </c>
      <c r="T59" s="81">
        <f t="shared" si="23"/>
        <v>144.63893652457872</v>
      </c>
    </row>
    <row r="60" spans="2:20">
      <c r="B60" s="78"/>
      <c r="C60" s="82" t="s">
        <v>80</v>
      </c>
      <c r="D60" s="80" t="s">
        <v>15</v>
      </c>
      <c r="E60" s="83">
        <f>E58*E15</f>
        <v>0.52385256000000002</v>
      </c>
      <c r="F60" s="83">
        <f>F58*F15</f>
        <v>0.52372005833782143</v>
      </c>
      <c r="G60" s="83">
        <f>G58*G15</f>
        <v>0.34843683203228959</v>
      </c>
      <c r="H60" s="83">
        <f>H58*H15</f>
        <v>3.0362037554351242</v>
      </c>
      <c r="I60" s="83">
        <f>I58*I15</f>
        <v>2.944053080255042</v>
      </c>
      <c r="J60" s="179"/>
      <c r="K60" s="83">
        <f t="shared" ref="K60:T60" si="24">K58*K15</f>
        <v>2.6705933795506196</v>
      </c>
      <c r="L60" s="83">
        <f t="shared" si="24"/>
        <v>2.8880544380577464</v>
      </c>
      <c r="M60" s="83">
        <f t="shared" si="24"/>
        <v>2.944053080255042</v>
      </c>
      <c r="N60" s="83">
        <f t="shared" si="24"/>
        <v>3.0893341620167591</v>
      </c>
      <c r="O60" s="83">
        <f t="shared" si="24"/>
        <v>3.1441360436093468</v>
      </c>
      <c r="P60" s="83">
        <f t="shared" si="24"/>
        <v>2.8013631451735592</v>
      </c>
      <c r="Q60" s="83">
        <f t="shared" si="24"/>
        <v>2.8774294253269326</v>
      </c>
      <c r="R60" s="83">
        <f t="shared" si="24"/>
        <v>2.9480616788413756</v>
      </c>
      <c r="S60" s="83">
        <f t="shared" si="24"/>
        <v>3.0138221138234007</v>
      </c>
      <c r="T60" s="83">
        <f t="shared" si="24"/>
        <v>3.0450302426227105</v>
      </c>
    </row>
    <row r="61" spans="2:20">
      <c r="B61" s="78"/>
      <c r="C61" s="82" t="s">
        <v>81</v>
      </c>
      <c r="D61" s="80" t="s">
        <v>15</v>
      </c>
      <c r="E61" s="83">
        <f>E58*E16</f>
        <v>0</v>
      </c>
      <c r="F61" s="83">
        <f>F58*F16</f>
        <v>0</v>
      </c>
      <c r="G61" s="83">
        <f>G58*G16</f>
        <v>0</v>
      </c>
      <c r="H61" s="83">
        <f>H58*H16</f>
        <v>0</v>
      </c>
      <c r="I61" s="83">
        <f>I58*I16</f>
        <v>0</v>
      </c>
      <c r="J61" s="179"/>
      <c r="K61" s="83">
        <f t="shared" ref="K61:T61" si="25">K58*K16</f>
        <v>0</v>
      </c>
      <c r="L61" s="83">
        <f t="shared" si="25"/>
        <v>0</v>
      </c>
      <c r="M61" s="83">
        <f t="shared" si="25"/>
        <v>0</v>
      </c>
      <c r="N61" s="83">
        <f t="shared" si="25"/>
        <v>0</v>
      </c>
      <c r="O61" s="83">
        <f t="shared" si="25"/>
        <v>0</v>
      </c>
      <c r="P61" s="83">
        <f t="shared" si="25"/>
        <v>0</v>
      </c>
      <c r="Q61" s="83">
        <f t="shared" si="25"/>
        <v>0</v>
      </c>
      <c r="R61" s="83">
        <f t="shared" si="25"/>
        <v>0</v>
      </c>
      <c r="S61" s="83">
        <f t="shared" si="25"/>
        <v>0</v>
      </c>
      <c r="T61" s="83">
        <f t="shared" si="25"/>
        <v>0</v>
      </c>
    </row>
    <row r="62" spans="2:20">
      <c r="B62" s="78"/>
      <c r="C62" s="79" t="s">
        <v>82</v>
      </c>
      <c r="D62" s="80" t="s">
        <v>15</v>
      </c>
      <c r="E62" s="83">
        <f>E58*E17</f>
        <v>0.78577883999999998</v>
      </c>
      <c r="F62" s="83">
        <f>F58*F17</f>
        <v>0.78558008750673214</v>
      </c>
      <c r="G62" s="83">
        <f>G58*G17</f>
        <v>0.52265524804843433</v>
      </c>
      <c r="H62" s="83">
        <f>H58*H17</f>
        <v>4.5543056331526861</v>
      </c>
      <c r="I62" s="83">
        <f>I58*I17</f>
        <v>4.416079620382563</v>
      </c>
      <c r="J62" s="179"/>
      <c r="K62" s="83">
        <f t="shared" ref="K62:T62" si="26">K58*K17</f>
        <v>4.0058900693259289</v>
      </c>
      <c r="L62" s="83">
        <f t="shared" si="26"/>
        <v>4.3320816570866194</v>
      </c>
      <c r="M62" s="83">
        <f t="shared" si="26"/>
        <v>4.416079620382563</v>
      </c>
      <c r="N62" s="83">
        <f t="shared" si="26"/>
        <v>4.6340012430251383</v>
      </c>
      <c r="O62" s="83">
        <f t="shared" si="26"/>
        <v>4.7162040654140203</v>
      </c>
      <c r="P62" s="83">
        <f t="shared" si="26"/>
        <v>4.2020447177603382</v>
      </c>
      <c r="Q62" s="83">
        <f t="shared" si="26"/>
        <v>4.3161441379903982</v>
      </c>
      <c r="R62" s="83">
        <f t="shared" si="26"/>
        <v>4.4220925182620627</v>
      </c>
      <c r="S62" s="83">
        <f t="shared" si="26"/>
        <v>4.5207331707351006</v>
      </c>
      <c r="T62" s="83">
        <f t="shared" si="26"/>
        <v>4.5675453639340651</v>
      </c>
    </row>
    <row r="63" spans="2:20">
      <c r="B63" s="78"/>
      <c r="C63" s="79" t="s">
        <v>83</v>
      </c>
      <c r="D63" s="80" t="s">
        <v>3</v>
      </c>
      <c r="E63" s="84">
        <v>2.73</v>
      </c>
      <c r="F63" s="84">
        <v>2.73</v>
      </c>
      <c r="G63" s="84">
        <v>2.73</v>
      </c>
      <c r="H63" s="84">
        <v>2.73</v>
      </c>
      <c r="I63" s="84">
        <v>2.73</v>
      </c>
      <c r="J63" s="179"/>
      <c r="K63" s="84">
        <v>2.73</v>
      </c>
      <c r="L63" s="84">
        <v>2.73</v>
      </c>
      <c r="M63" s="84">
        <v>2.73</v>
      </c>
      <c r="N63" s="84">
        <v>2.73</v>
      </c>
      <c r="O63" s="84">
        <v>2.73</v>
      </c>
      <c r="P63" s="84">
        <v>2.73</v>
      </c>
      <c r="Q63" s="84">
        <v>2.73</v>
      </c>
      <c r="R63" s="84">
        <v>2.73</v>
      </c>
      <c r="S63" s="84">
        <v>2.73</v>
      </c>
      <c r="T63" s="84">
        <v>2.73</v>
      </c>
    </row>
    <row r="64" spans="2:20">
      <c r="B64" s="78"/>
      <c r="C64" s="85" t="s">
        <v>84</v>
      </c>
      <c r="D64" s="86" t="s">
        <v>15</v>
      </c>
      <c r="E64" s="87">
        <f>E48/1000*(E40*E41)/100</f>
        <v>2.2315702500000003</v>
      </c>
      <c r="F64" s="87">
        <f>F48/1000*(F40*F41)/100</f>
        <v>2.2310097186915079</v>
      </c>
      <c r="G64" s="87">
        <f>G48/1000*(G40*G41)/100</f>
        <v>1.4882679834423822</v>
      </c>
      <c r="H64" s="87">
        <f>H48/1000*(H40*H41)/100</f>
        <v>12.913026102176481</v>
      </c>
      <c r="I64" s="87">
        <f>I48/1000*((I40+I43)*I41)/100</f>
        <v>15.685051652484091</v>
      </c>
      <c r="J64" s="253"/>
      <c r="K64" s="87">
        <f t="shared" ref="K64:T64" si="27">K48/1000*((K40+K43)*K41)/100</f>
        <v>24.164317937127056</v>
      </c>
      <c r="L64" s="87">
        <f t="shared" si="27"/>
        <v>17.42131322957183</v>
      </c>
      <c r="M64" s="87">
        <f t="shared" si="27"/>
        <v>15.685051652484091</v>
      </c>
      <c r="N64" s="87">
        <f t="shared" si="27"/>
        <v>11.181283302299294</v>
      </c>
      <c r="O64" s="87">
        <f t="shared" si="27"/>
        <v>9.4830239572876636</v>
      </c>
      <c r="P64" s="87">
        <f t="shared" si="27"/>
        <v>12.673780706502539</v>
      </c>
      <c r="Q64" s="87">
        <f t="shared" si="27"/>
        <v>13.01791579498051</v>
      </c>
      <c r="R64" s="87">
        <f t="shared" si="27"/>
        <v>13.337466544190033</v>
      </c>
      <c r="S64" s="87">
        <f t="shared" si="27"/>
        <v>13.634976466658427</v>
      </c>
      <c r="T64" s="87">
        <f t="shared" si="27"/>
        <v>13.77616665163826</v>
      </c>
    </row>
    <row r="65" spans="2:21">
      <c r="B65" s="78"/>
      <c r="C65" s="85" t="s">
        <v>182</v>
      </c>
      <c r="D65" s="86" t="s">
        <v>15</v>
      </c>
      <c r="E65" s="87">
        <f>E47/1000*E40*E44/100+E48/1000*(E40*E41)/100</f>
        <v>28.42419825</v>
      </c>
      <c r="F65" s="87">
        <f>F47/1000*F40*F44/100+F48/1000*(F40*F41)/100</f>
        <v>28.417012635582587</v>
      </c>
      <c r="G65" s="87">
        <f>G47/1000*G40*G44/100+G48/1000*(G40*G41)/100</f>
        <v>18.910109585056858</v>
      </c>
      <c r="H65" s="87">
        <f>H47/1000*H40*H44/100+H48/1000*(H40*H41)/100</f>
        <v>164.72321387393268</v>
      </c>
      <c r="I65" s="87">
        <f>I47/1000*I40*I44/100+I48/1000*(I40*I41)/100</f>
        <v>161.86919581767231</v>
      </c>
      <c r="J65" s="253"/>
      <c r="K65" s="87">
        <f t="shared" ref="K65:T65" si="28">K47/1000*K40*K44/100+K48/1000*(K40*K41)/100</f>
        <v>156.12487536029914</v>
      </c>
      <c r="L65" s="87">
        <f t="shared" si="28"/>
        <v>160.69278102664279</v>
      </c>
      <c r="M65" s="87">
        <f t="shared" si="28"/>
        <v>161.86919581767231</v>
      </c>
      <c r="N65" s="87">
        <f t="shared" si="28"/>
        <v>164.92193404584509</v>
      </c>
      <c r="O65" s="87">
        <f t="shared" si="28"/>
        <v>166.07404536130778</v>
      </c>
      <c r="P65" s="87">
        <f t="shared" si="28"/>
        <v>151.91896519203098</v>
      </c>
      <c r="Q65" s="87">
        <f t="shared" si="28"/>
        <v>156.04406785386084</v>
      </c>
      <c r="R65" s="87">
        <f t="shared" si="28"/>
        <v>159.87448123014258</v>
      </c>
      <c r="S65" s="87">
        <f t="shared" si="28"/>
        <v>163.44069407557791</v>
      </c>
      <c r="T65" s="87">
        <f t="shared" si="28"/>
        <v>165.13312250669338</v>
      </c>
    </row>
    <row r="66" spans="2:21" ht="16" thickBot="1">
      <c r="B66" s="78"/>
      <c r="C66" s="200" t="s">
        <v>183</v>
      </c>
      <c r="D66" s="88" t="s">
        <v>15</v>
      </c>
      <c r="E66" s="89">
        <f>E65</f>
        <v>28.42419825</v>
      </c>
      <c r="F66" s="89">
        <f>F65</f>
        <v>28.417012635582587</v>
      </c>
      <c r="G66" s="89">
        <f>G65</f>
        <v>18.910109585056858</v>
      </c>
      <c r="H66" s="89">
        <f>H65</f>
        <v>164.72321387393268</v>
      </c>
      <c r="I66" s="89">
        <f>I65</f>
        <v>161.86919581767231</v>
      </c>
      <c r="J66" s="254"/>
      <c r="K66" s="89">
        <f t="shared" ref="K66:T66" si="29">K65</f>
        <v>156.12487536029914</v>
      </c>
      <c r="L66" s="89">
        <f t="shared" si="29"/>
        <v>160.69278102664279</v>
      </c>
      <c r="M66" s="89">
        <f t="shared" si="29"/>
        <v>161.86919581767231</v>
      </c>
      <c r="N66" s="89">
        <f t="shared" si="29"/>
        <v>164.92193404584509</v>
      </c>
      <c r="O66" s="89">
        <f t="shared" si="29"/>
        <v>166.07404536130778</v>
      </c>
      <c r="P66" s="89">
        <f t="shared" si="29"/>
        <v>151.91896519203098</v>
      </c>
      <c r="Q66" s="89">
        <f t="shared" si="29"/>
        <v>156.04406785386084</v>
      </c>
      <c r="R66" s="89">
        <f t="shared" si="29"/>
        <v>159.87448123014258</v>
      </c>
      <c r="S66" s="89">
        <f t="shared" si="29"/>
        <v>163.44069407557791</v>
      </c>
      <c r="T66" s="89">
        <f t="shared" si="29"/>
        <v>165.13312250669338</v>
      </c>
    </row>
    <row r="67" spans="2:21">
      <c r="B67" s="24"/>
      <c r="C67" s="15" t="s">
        <v>85</v>
      </c>
      <c r="D67" s="90" t="s">
        <v>16</v>
      </c>
      <c r="E67" s="91">
        <f>E58/E50</f>
        <v>6.9311968245125346</v>
      </c>
      <c r="F67" s="91">
        <f>F58/F50</f>
        <v>6.9294436688151864</v>
      </c>
      <c r="G67" s="91">
        <f>G58/G50</f>
        <v>4.6102366355247222</v>
      </c>
      <c r="H67" s="91">
        <f>H58/H50</f>
        <v>40.172612362999551</v>
      </c>
      <c r="I67" s="91">
        <f>I58/I50</f>
        <v>38.953348554906547</v>
      </c>
      <c r="J67" s="255"/>
      <c r="K67" s="91">
        <f t="shared" ref="K67:T67" si="30">K58/K50</f>
        <v>35.335149172327135</v>
      </c>
      <c r="L67" s="91">
        <f t="shared" si="30"/>
        <v>38.212419445053747</v>
      </c>
      <c r="M67" s="91">
        <f t="shared" si="30"/>
        <v>38.953348554906547</v>
      </c>
      <c r="N67" s="91">
        <f t="shared" si="30"/>
        <v>40.875591280166034</v>
      </c>
      <c r="O67" s="91">
        <f t="shared" si="30"/>
        <v>41.600685813772692</v>
      </c>
      <c r="P67" s="91">
        <f t="shared" si="30"/>
        <v>44.354916465248017</v>
      </c>
      <c r="Q67" s="91">
        <f t="shared" si="30"/>
        <v>42.711843032196647</v>
      </c>
      <c r="R67" s="91">
        <f t="shared" si="30"/>
        <v>41.186155807342743</v>
      </c>
      <c r="S67" s="91">
        <f t="shared" si="30"/>
        <v>39.765708446280982</v>
      </c>
      <c r="T67" s="91">
        <f t="shared" si="30"/>
        <v>39.091604466102353</v>
      </c>
    </row>
    <row r="68" spans="2:21" ht="16" thickBot="1">
      <c r="B68" s="24"/>
      <c r="C68" s="50" t="s">
        <v>86</v>
      </c>
      <c r="D68" s="86" t="s">
        <v>16</v>
      </c>
      <c r="E68" s="92">
        <f>E67-E58/E51</f>
        <v>0.88053407839243647</v>
      </c>
      <c r="F68" s="92">
        <f>F67-F58/F51</f>
        <v>0.88031135879936695</v>
      </c>
      <c r="G68" s="92">
        <f>G67-G58/G51</f>
        <v>0.58568102591983529</v>
      </c>
      <c r="H68" s="92">
        <f>H67-H58/H51</f>
        <v>5.103498731787667</v>
      </c>
      <c r="I68" s="92">
        <f>I67-I58/I51</f>
        <v>4.9486043663903985</v>
      </c>
      <c r="J68" s="256"/>
      <c r="K68" s="92">
        <f t="shared" ref="K68:T68" si="31">K67-K58/K51</f>
        <v>4.488951013666032</v>
      </c>
      <c r="L68" s="92">
        <f t="shared" si="31"/>
        <v>4.854477284528997</v>
      </c>
      <c r="M68" s="92">
        <f t="shared" si="31"/>
        <v>4.9486043663903985</v>
      </c>
      <c r="N68" s="92">
        <f t="shared" si="31"/>
        <v>5.1928046494565123</v>
      </c>
      <c r="O68" s="92">
        <f t="shared" si="31"/>
        <v>5.2849201185539627</v>
      </c>
      <c r="P68" s="92">
        <f t="shared" si="31"/>
        <v>11.998286155270186</v>
      </c>
      <c r="Q68" s="92">
        <f t="shared" si="31"/>
        <v>9.4766231290707879</v>
      </c>
      <c r="R68" s="92">
        <f t="shared" si="31"/>
        <v>7.1351110373605522</v>
      </c>
      <c r="S68" s="92">
        <f t="shared" si="31"/>
        <v>4.9551098542951451</v>
      </c>
      <c r="T68" s="92">
        <f t="shared" si="31"/>
        <v>3.9205421163330314</v>
      </c>
    </row>
    <row r="69" spans="2:21">
      <c r="B69" s="54" t="s">
        <v>184</v>
      </c>
      <c r="C69" s="55" t="s">
        <v>87</v>
      </c>
      <c r="D69" s="56" t="s">
        <v>11</v>
      </c>
      <c r="E69" s="93">
        <v>65</v>
      </c>
      <c r="F69" s="93">
        <f>F113-F106</f>
        <v>65</v>
      </c>
      <c r="G69" s="93">
        <f>G113-G106</f>
        <v>60.000000000000007</v>
      </c>
      <c r="H69" s="93">
        <f>H113-H106</f>
        <v>75</v>
      </c>
      <c r="I69" s="93">
        <f>I113-I106</f>
        <v>74</v>
      </c>
      <c r="J69" s="257"/>
      <c r="K69" s="93">
        <f t="shared" ref="K69:T69" si="32">K113-K106</f>
        <v>74</v>
      </c>
      <c r="L69" s="93">
        <f t="shared" si="32"/>
        <v>74</v>
      </c>
      <c r="M69" s="93">
        <f t="shared" si="32"/>
        <v>74</v>
      </c>
      <c r="N69" s="93">
        <f t="shared" si="32"/>
        <v>74</v>
      </c>
      <c r="O69" s="93">
        <f t="shared" si="32"/>
        <v>74</v>
      </c>
      <c r="P69" s="93">
        <f t="shared" si="32"/>
        <v>74</v>
      </c>
      <c r="Q69" s="93">
        <f t="shared" si="32"/>
        <v>74</v>
      </c>
      <c r="R69" s="93">
        <f t="shared" si="32"/>
        <v>74</v>
      </c>
      <c r="S69" s="93">
        <f t="shared" si="32"/>
        <v>74</v>
      </c>
      <c r="T69" s="93">
        <f t="shared" si="32"/>
        <v>74</v>
      </c>
    </row>
    <row r="70" spans="2:21">
      <c r="B70" s="58"/>
      <c r="C70" s="59" t="s">
        <v>185</v>
      </c>
      <c r="D70" s="60" t="s">
        <v>11</v>
      </c>
      <c r="E70" s="94">
        <f>E71+E73+E75+E74</f>
        <v>963</v>
      </c>
      <c r="F70" s="94">
        <f>F71+F73+F75+F74</f>
        <v>963.04750676681522</v>
      </c>
      <c r="G70" s="94">
        <f>G71+G73+G75+G74</f>
        <v>715.4575468236925</v>
      </c>
      <c r="H70" s="94">
        <f>H71+H73+H75+H74</f>
        <v>4503.4416666037505</v>
      </c>
      <c r="I70" s="94">
        <f>I73+I75+I74</f>
        <v>5114.1325049793641</v>
      </c>
      <c r="J70" s="221"/>
      <c r="K70" s="94">
        <f t="shared" ref="K70:T70" si="33">K73+K75+K74</f>
        <v>7803.1828448353835</v>
      </c>
      <c r="L70" s="94">
        <f t="shared" si="33"/>
        <v>5664.750142554678</v>
      </c>
      <c r="M70" s="94">
        <f t="shared" si="33"/>
        <v>5114.1325049793641</v>
      </c>
      <c r="N70" s="94">
        <f t="shared" si="33"/>
        <v>3685.897673577656</v>
      </c>
      <c r="O70" s="94">
        <f t="shared" si="33"/>
        <v>3147.3715290387622</v>
      </c>
      <c r="P70" s="94">
        <f t="shared" si="33"/>
        <v>4159.1678230613234</v>
      </c>
      <c r="Q70" s="94">
        <f t="shared" si="33"/>
        <v>4268.3079174044315</v>
      </c>
      <c r="R70" s="94">
        <f t="shared" si="33"/>
        <v>4369.6512563542192</v>
      </c>
      <c r="S70" s="94">
        <f t="shared" si="33"/>
        <v>4464.0044975474366</v>
      </c>
      <c r="T70" s="94">
        <f t="shared" si="33"/>
        <v>4508.7820009899724</v>
      </c>
    </row>
    <row r="71" spans="2:21" ht="42.5" hidden="1">
      <c r="B71" s="199" t="s">
        <v>186</v>
      </c>
      <c r="C71" s="194" t="s">
        <v>187</v>
      </c>
      <c r="D71" s="195" t="s">
        <v>11</v>
      </c>
      <c r="E71" s="197">
        <v>15</v>
      </c>
      <c r="F71" s="197">
        <v>15</v>
      </c>
      <c r="G71" s="197">
        <v>15</v>
      </c>
      <c r="H71" s="197">
        <v>22</v>
      </c>
      <c r="I71" s="197">
        <v>0</v>
      </c>
      <c r="J71" s="221"/>
      <c r="K71" s="197">
        <v>0</v>
      </c>
      <c r="L71" s="197">
        <v>0</v>
      </c>
      <c r="M71" s="197">
        <v>0</v>
      </c>
      <c r="N71" s="197">
        <v>0</v>
      </c>
      <c r="O71" s="197">
        <v>0</v>
      </c>
      <c r="P71" s="197">
        <v>0</v>
      </c>
      <c r="Q71" s="197">
        <v>0</v>
      </c>
      <c r="R71" s="197">
        <v>0</v>
      </c>
      <c r="S71" s="197">
        <v>0</v>
      </c>
      <c r="T71" s="197">
        <v>0</v>
      </c>
    </row>
    <row r="72" spans="2:21">
      <c r="B72" s="199"/>
      <c r="C72" s="299" t="s">
        <v>277</v>
      </c>
      <c r="D72" s="195"/>
      <c r="E72" s="300"/>
      <c r="F72" s="300"/>
      <c r="G72" s="300"/>
      <c r="H72" s="300"/>
      <c r="I72" s="300">
        <v>4</v>
      </c>
      <c r="J72" s="221"/>
      <c r="K72" s="300">
        <v>4</v>
      </c>
      <c r="L72" s="300">
        <v>4</v>
      </c>
      <c r="M72" s="300">
        <v>4</v>
      </c>
      <c r="N72" s="300">
        <v>4</v>
      </c>
      <c r="O72" s="300">
        <v>4</v>
      </c>
      <c r="P72" s="300">
        <v>4</v>
      </c>
      <c r="Q72" s="300">
        <v>4</v>
      </c>
      <c r="R72" s="300">
        <v>4</v>
      </c>
      <c r="S72" s="300">
        <v>4</v>
      </c>
      <c r="T72" s="300">
        <v>4</v>
      </c>
    </row>
    <row r="73" spans="2:21">
      <c r="B73" s="58"/>
      <c r="C73" s="62" t="s">
        <v>188</v>
      </c>
      <c r="D73" s="60" t="s">
        <v>11</v>
      </c>
      <c r="E73" s="96">
        <f>E41</f>
        <v>865</v>
      </c>
      <c r="F73" s="96">
        <f>F41</f>
        <v>864.78272717076868</v>
      </c>
      <c r="G73" s="96">
        <f>G41</f>
        <v>626.61276722764592</v>
      </c>
      <c r="H73" s="96">
        <f>H41</f>
        <v>4319.676887007704</v>
      </c>
      <c r="I73" s="96">
        <f>I41</f>
        <v>4974.4070699091671</v>
      </c>
      <c r="J73" s="221">
        <f>J71/I69</f>
        <v>0</v>
      </c>
      <c r="K73" s="96">
        <f t="shared" ref="K73:T73" si="34">K41</f>
        <v>7663.5484950373602</v>
      </c>
      <c r="L73" s="96">
        <f t="shared" si="34"/>
        <v>5525.0505778576426</v>
      </c>
      <c r="M73" s="96">
        <f t="shared" si="34"/>
        <v>4974.4070699091671</v>
      </c>
      <c r="N73" s="96">
        <f t="shared" si="34"/>
        <v>3546.0676790825978</v>
      </c>
      <c r="O73" s="96">
        <f t="shared" si="34"/>
        <v>3007.4763196446925</v>
      </c>
      <c r="P73" s="96">
        <f t="shared" si="34"/>
        <v>4019.4030434652768</v>
      </c>
      <c r="Q73" s="96">
        <f t="shared" si="34"/>
        <v>4128.5431378083849</v>
      </c>
      <c r="R73" s="96">
        <f t="shared" si="34"/>
        <v>4229.8864767581726</v>
      </c>
      <c r="S73" s="96">
        <f t="shared" si="34"/>
        <v>4324.23971795139</v>
      </c>
      <c r="T73" s="96">
        <f t="shared" si="34"/>
        <v>4369.0172213939259</v>
      </c>
    </row>
    <row r="74" spans="2:21">
      <c r="B74" s="58"/>
      <c r="C74" s="62" t="s">
        <v>189</v>
      </c>
      <c r="D74" s="60" t="s">
        <v>27</v>
      </c>
      <c r="E74" s="95">
        <v>61</v>
      </c>
      <c r="F74" s="95">
        <f>3.14*F136</f>
        <v>61.264779596046573</v>
      </c>
      <c r="G74" s="95">
        <f>3.14*G136</f>
        <v>51.844779596046571</v>
      </c>
      <c r="H74" s="95">
        <f>3.14*H136</f>
        <v>139.76477959604659</v>
      </c>
      <c r="I74" s="95">
        <f>3.14*I136</f>
        <v>139.7254350701966</v>
      </c>
      <c r="J74" s="221"/>
      <c r="K74" s="95">
        <f t="shared" ref="K74:T74" si="35">3.14*K136</f>
        <v>139.63434979802329</v>
      </c>
      <c r="L74" s="95">
        <f t="shared" si="35"/>
        <v>139.69956469703493</v>
      </c>
      <c r="M74" s="95">
        <f t="shared" si="35"/>
        <v>139.7254350701966</v>
      </c>
      <c r="N74" s="95">
        <f t="shared" si="35"/>
        <v>139.82999449505823</v>
      </c>
      <c r="O74" s="95">
        <f t="shared" si="35"/>
        <v>139.89520939406987</v>
      </c>
      <c r="P74" s="95">
        <f t="shared" si="35"/>
        <v>139.76477959604659</v>
      </c>
      <c r="Q74" s="95">
        <f t="shared" si="35"/>
        <v>139.76477959604659</v>
      </c>
      <c r="R74" s="95">
        <f t="shared" si="35"/>
        <v>139.76477959604659</v>
      </c>
      <c r="S74" s="95">
        <f t="shared" si="35"/>
        <v>139.76477959604659</v>
      </c>
      <c r="T74" s="95">
        <f t="shared" si="35"/>
        <v>139.76477959604659</v>
      </c>
    </row>
    <row r="75" spans="2:21">
      <c r="B75" s="58"/>
      <c r="C75" s="62" t="s">
        <v>190</v>
      </c>
      <c r="D75" s="60" t="s">
        <v>27</v>
      </c>
      <c r="E75" s="95">
        <v>22</v>
      </c>
      <c r="F75" s="95">
        <v>22</v>
      </c>
      <c r="G75" s="95">
        <v>22</v>
      </c>
      <c r="H75" s="95">
        <v>22</v>
      </c>
      <c r="I75" s="95">
        <v>0</v>
      </c>
      <c r="J75" s="221"/>
      <c r="K75" s="95">
        <v>0</v>
      </c>
      <c r="L75" s="95">
        <v>0</v>
      </c>
      <c r="M75" s="95">
        <v>0</v>
      </c>
      <c r="N75" s="95">
        <v>0</v>
      </c>
      <c r="O75" s="95">
        <v>0</v>
      </c>
      <c r="P75" s="95">
        <v>0</v>
      </c>
      <c r="Q75" s="95">
        <v>0</v>
      </c>
      <c r="R75" s="95">
        <v>0</v>
      </c>
      <c r="S75" s="95">
        <v>0</v>
      </c>
      <c r="T75" s="95">
        <v>0</v>
      </c>
    </row>
    <row r="76" spans="2:21">
      <c r="B76" s="58"/>
      <c r="C76" s="62" t="s">
        <v>191</v>
      </c>
      <c r="D76" s="60" t="s">
        <v>14</v>
      </c>
      <c r="E76" s="97">
        <f>E69*E73*2</f>
        <v>112450</v>
      </c>
      <c r="F76" s="97">
        <f>F69*F73*2</f>
        <v>112421.75453219994</v>
      </c>
      <c r="G76" s="97">
        <f>G69*G73*2</f>
        <v>75193.532067317516</v>
      </c>
      <c r="H76" s="97">
        <f>H69*H73*2</f>
        <v>647951.53305115562</v>
      </c>
      <c r="I76" s="97">
        <f>I69*I73*2</f>
        <v>736212.2463465567</v>
      </c>
      <c r="J76" s="222"/>
      <c r="K76" s="97">
        <f t="shared" ref="K76:T76" si="36">K69*K73*2</f>
        <v>1134205.1772655293</v>
      </c>
      <c r="L76" s="97">
        <f t="shared" si="36"/>
        <v>817707.48552293109</v>
      </c>
      <c r="M76" s="97">
        <f t="shared" si="36"/>
        <v>736212.2463465567</v>
      </c>
      <c r="N76" s="97">
        <f t="shared" si="36"/>
        <v>524818.01650422451</v>
      </c>
      <c r="O76" s="97">
        <f t="shared" si="36"/>
        <v>445106.4953074145</v>
      </c>
      <c r="P76" s="97">
        <f t="shared" si="36"/>
        <v>594871.65043286094</v>
      </c>
      <c r="Q76" s="97">
        <f t="shared" si="36"/>
        <v>611024.38439564093</v>
      </c>
      <c r="R76" s="97">
        <f t="shared" si="36"/>
        <v>626023.1985602096</v>
      </c>
      <c r="S76" s="97">
        <f t="shared" si="36"/>
        <v>639987.47825680568</v>
      </c>
      <c r="T76" s="97">
        <f t="shared" si="36"/>
        <v>646614.54876630101</v>
      </c>
    </row>
    <row r="77" spans="2:21">
      <c r="B77" s="58"/>
      <c r="C77" s="62" t="s">
        <v>192</v>
      </c>
      <c r="D77" s="60" t="s">
        <v>14</v>
      </c>
      <c r="E77" s="97">
        <f>E69*E74</f>
        <v>3965</v>
      </c>
      <c r="F77" s="97">
        <f>F69*F74</f>
        <v>3982.2106737430272</v>
      </c>
      <c r="G77" s="97">
        <f>G69*G74</f>
        <v>3110.6867757627947</v>
      </c>
      <c r="H77" s="97">
        <f>H69*H74</f>
        <v>10482.358469703495</v>
      </c>
      <c r="I77" s="97">
        <f>I69*I74</f>
        <v>10339.682195194548</v>
      </c>
      <c r="J77" s="222"/>
      <c r="K77" s="97">
        <f t="shared" ref="K77:T77" si="37">K69*K74</f>
        <v>10332.941885053724</v>
      </c>
      <c r="L77" s="97">
        <f t="shared" si="37"/>
        <v>10337.767787580586</v>
      </c>
      <c r="M77" s="97">
        <f t="shared" si="37"/>
        <v>10339.682195194548</v>
      </c>
      <c r="N77" s="97">
        <f t="shared" si="37"/>
        <v>10347.419592634309</v>
      </c>
      <c r="O77" s="97">
        <f t="shared" si="37"/>
        <v>10352.245495161171</v>
      </c>
      <c r="P77" s="97">
        <f t="shared" si="37"/>
        <v>10342.593690107447</v>
      </c>
      <c r="Q77" s="97">
        <f t="shared" si="37"/>
        <v>10342.593690107447</v>
      </c>
      <c r="R77" s="97">
        <f t="shared" si="37"/>
        <v>10342.593690107447</v>
      </c>
      <c r="S77" s="97">
        <f t="shared" si="37"/>
        <v>10342.593690107447</v>
      </c>
      <c r="T77" s="97">
        <f t="shared" si="37"/>
        <v>10342.593690107447</v>
      </c>
    </row>
    <row r="78" spans="2:21">
      <c r="B78" s="58"/>
      <c r="C78" s="62" t="s">
        <v>193</v>
      </c>
      <c r="D78" s="60" t="s">
        <v>12</v>
      </c>
      <c r="E78" s="69">
        <v>32.9</v>
      </c>
      <c r="F78" s="167">
        <f>F79+F82</f>
        <v>32.897683975432713</v>
      </c>
      <c r="G78" s="167">
        <f>G79+G82</f>
        <v>32.897683975432713</v>
      </c>
      <c r="H78" s="167">
        <f>H79+H82</f>
        <v>32.897683975432713</v>
      </c>
      <c r="I78" s="167">
        <f>I79+I82</f>
        <v>28.956636598972825</v>
      </c>
      <c r="J78" s="222"/>
      <c r="K78" s="167">
        <f t="shared" ref="K78:T78" si="38">K79+K82</f>
        <v>19.832841987716357</v>
      </c>
      <c r="L78" s="167">
        <f t="shared" si="38"/>
        <v>26.365262981574539</v>
      </c>
      <c r="M78" s="167">
        <f t="shared" si="38"/>
        <v>28.956636598972825</v>
      </c>
      <c r="N78" s="167">
        <f t="shared" si="38"/>
        <v>39.430104969290895</v>
      </c>
      <c r="O78" s="167">
        <f t="shared" si="38"/>
        <v>45.962525963149076</v>
      </c>
      <c r="P78" s="167">
        <f t="shared" si="38"/>
        <v>32.897683975432713</v>
      </c>
      <c r="Q78" s="167">
        <f t="shared" si="38"/>
        <v>32.897683975432713</v>
      </c>
      <c r="R78" s="167">
        <f t="shared" si="38"/>
        <v>32.897683975432713</v>
      </c>
      <c r="S78" s="167">
        <f t="shared" si="38"/>
        <v>32.897683975432713</v>
      </c>
      <c r="T78" s="167">
        <f t="shared" si="38"/>
        <v>32.897683975432713</v>
      </c>
    </row>
    <row r="79" spans="2:21">
      <c r="B79" s="58"/>
      <c r="C79" s="62" t="s">
        <v>88</v>
      </c>
      <c r="D79" s="60" t="s">
        <v>12</v>
      </c>
      <c r="E79" s="167">
        <f>E78-E82</f>
        <v>26.131999999999998</v>
      </c>
      <c r="F79" s="167">
        <f>F5*F14*F47*F210/F23/F34</f>
        <v>26.129683975432712</v>
      </c>
      <c r="G79" s="167">
        <f>G5*G14*G47*G210/G23/G34</f>
        <v>26.129683975432712</v>
      </c>
      <c r="H79" s="167">
        <f>H5*H14*H47*H210/H23/H34</f>
        <v>26.129683975432712</v>
      </c>
      <c r="I79" s="167">
        <f>I5*I14*I47*I210/I23/I34</f>
        <v>22.188636598972824</v>
      </c>
      <c r="J79" s="222"/>
      <c r="K79" s="167">
        <f t="shared" ref="K79:T79" si="39">K5*K14*K47*K210/K23/K34</f>
        <v>13.064841987716356</v>
      </c>
      <c r="L79" s="167">
        <f t="shared" si="39"/>
        <v>19.597262981574538</v>
      </c>
      <c r="M79" s="167">
        <f t="shared" si="39"/>
        <v>22.188636598972824</v>
      </c>
      <c r="N79" s="167">
        <f t="shared" si="39"/>
        <v>32.662104969290894</v>
      </c>
      <c r="O79" s="167">
        <f t="shared" si="39"/>
        <v>39.194525963149076</v>
      </c>
      <c r="P79" s="167">
        <f t="shared" si="39"/>
        <v>26.129683975432712</v>
      </c>
      <c r="Q79" s="167">
        <f t="shared" si="39"/>
        <v>26.129683975432712</v>
      </c>
      <c r="R79" s="167">
        <f t="shared" si="39"/>
        <v>26.129683975432712</v>
      </c>
      <c r="S79" s="167">
        <f t="shared" si="39"/>
        <v>26.129683975432712</v>
      </c>
      <c r="T79" s="167">
        <f t="shared" si="39"/>
        <v>26.129683975432712</v>
      </c>
      <c r="U79" s="98"/>
    </row>
    <row r="80" spans="2:21">
      <c r="B80" s="58"/>
      <c r="C80" s="62" t="s">
        <v>194</v>
      </c>
      <c r="D80" s="60" t="s">
        <v>12</v>
      </c>
      <c r="E80" s="98">
        <v>19.8</v>
      </c>
      <c r="F80" s="167">
        <f>F81+F82</f>
        <v>19.832841987716357</v>
      </c>
      <c r="G80" s="167">
        <f>G81+G82</f>
        <v>19.832841987716357</v>
      </c>
      <c r="H80" s="167">
        <f>H81+H82</f>
        <v>19.832841987716357</v>
      </c>
      <c r="I80" s="167">
        <f>I81+I82</f>
        <v>17.862318299486411</v>
      </c>
      <c r="J80" s="222"/>
      <c r="K80" s="167">
        <f t="shared" ref="K80:T80" si="40">K81+K82</f>
        <v>13.300420993858179</v>
      </c>
      <c r="L80" s="167">
        <f t="shared" si="40"/>
        <v>16.56663149078727</v>
      </c>
      <c r="M80" s="167">
        <f t="shared" si="40"/>
        <v>17.862318299486411</v>
      </c>
      <c r="N80" s="167">
        <f t="shared" si="40"/>
        <v>23.099052484645448</v>
      </c>
      <c r="O80" s="167">
        <f t="shared" si="40"/>
        <v>26.365262981574539</v>
      </c>
      <c r="P80" s="167">
        <f t="shared" si="40"/>
        <v>19.832841987716357</v>
      </c>
      <c r="Q80" s="167">
        <f t="shared" si="40"/>
        <v>19.832841987716357</v>
      </c>
      <c r="R80" s="167">
        <f t="shared" si="40"/>
        <v>19.832841987716357</v>
      </c>
      <c r="S80" s="167">
        <f t="shared" si="40"/>
        <v>19.832841987716357</v>
      </c>
      <c r="T80" s="167">
        <f t="shared" si="40"/>
        <v>19.832841987716357</v>
      </c>
      <c r="U80" s="99"/>
    </row>
    <row r="81" spans="2:21">
      <c r="B81" s="58"/>
      <c r="C81" s="62" t="s">
        <v>195</v>
      </c>
      <c r="D81" s="60" t="s">
        <v>12</v>
      </c>
      <c r="E81" s="167">
        <f>E80-E82</f>
        <v>13.032</v>
      </c>
      <c r="F81" s="167">
        <f>F79/2</f>
        <v>13.064841987716356</v>
      </c>
      <c r="G81" s="167">
        <f>G79/2</f>
        <v>13.064841987716356</v>
      </c>
      <c r="H81" s="167">
        <f>H79/2</f>
        <v>13.064841987716356</v>
      </c>
      <c r="I81" s="167">
        <f>I79/2</f>
        <v>11.094318299486412</v>
      </c>
      <c r="J81" s="222"/>
      <c r="K81" s="167">
        <f t="shared" ref="K81:T81" si="41">K79/2</f>
        <v>6.5324209938581781</v>
      </c>
      <c r="L81" s="167">
        <f t="shared" si="41"/>
        <v>9.7986314907872689</v>
      </c>
      <c r="M81" s="167">
        <f t="shared" si="41"/>
        <v>11.094318299486412</v>
      </c>
      <c r="N81" s="167">
        <f t="shared" si="41"/>
        <v>16.331052484645447</v>
      </c>
      <c r="O81" s="167">
        <f t="shared" si="41"/>
        <v>19.597262981574538</v>
      </c>
      <c r="P81" s="167">
        <f t="shared" si="41"/>
        <v>13.064841987716356</v>
      </c>
      <c r="Q81" s="167">
        <f t="shared" si="41"/>
        <v>13.064841987716356</v>
      </c>
      <c r="R81" s="167">
        <f t="shared" si="41"/>
        <v>13.064841987716356</v>
      </c>
      <c r="S81" s="167">
        <f t="shared" si="41"/>
        <v>13.064841987716356</v>
      </c>
      <c r="T81" s="167">
        <f t="shared" si="41"/>
        <v>13.064841987716356</v>
      </c>
      <c r="U81" s="99"/>
    </row>
    <row r="82" spans="2:21">
      <c r="B82" s="58"/>
      <c r="C82" s="62" t="s">
        <v>89</v>
      </c>
      <c r="D82" s="60" t="s">
        <v>12</v>
      </c>
      <c r="E82" s="100">
        <f>E99*E89*0.0001*1000</f>
        <v>6.7680000000000007</v>
      </c>
      <c r="F82" s="100">
        <f>F99*F89*0.0001*1000</f>
        <v>6.7680000000000007</v>
      </c>
      <c r="G82" s="100">
        <f>G99*G89*0.0001*1000</f>
        <v>6.7680000000000007</v>
      </c>
      <c r="H82" s="100">
        <f>H99*H89*0.0001*1000</f>
        <v>6.7680000000000007</v>
      </c>
      <c r="I82" s="100">
        <f>I99*I89*0.0001*1000</f>
        <v>6.7680000000000007</v>
      </c>
      <c r="J82" s="222"/>
      <c r="K82" s="100">
        <f t="shared" ref="K82:T82" si="42">K99*K89*0.0001*1000</f>
        <v>6.7680000000000007</v>
      </c>
      <c r="L82" s="100">
        <f t="shared" si="42"/>
        <v>6.7680000000000007</v>
      </c>
      <c r="M82" s="100">
        <f t="shared" si="42"/>
        <v>6.7680000000000007</v>
      </c>
      <c r="N82" s="100">
        <f t="shared" si="42"/>
        <v>6.7680000000000007</v>
      </c>
      <c r="O82" s="100">
        <f t="shared" si="42"/>
        <v>6.7680000000000007</v>
      </c>
      <c r="P82" s="100">
        <f t="shared" si="42"/>
        <v>6.7680000000000007</v>
      </c>
      <c r="Q82" s="100">
        <f t="shared" si="42"/>
        <v>6.7680000000000007</v>
      </c>
      <c r="R82" s="100">
        <f t="shared" si="42"/>
        <v>6.7680000000000007</v>
      </c>
      <c r="S82" s="100">
        <f t="shared" si="42"/>
        <v>6.7680000000000007</v>
      </c>
      <c r="T82" s="100">
        <f t="shared" si="42"/>
        <v>6.7680000000000007</v>
      </c>
    </row>
    <row r="83" spans="2:21">
      <c r="B83" s="58"/>
      <c r="C83" s="62" t="s">
        <v>90</v>
      </c>
      <c r="D83" s="60" t="s">
        <v>3</v>
      </c>
      <c r="E83" s="69">
        <v>1.494</v>
      </c>
      <c r="F83" s="69">
        <v>1.494</v>
      </c>
      <c r="G83" s="69">
        <v>1.494</v>
      </c>
      <c r="H83" s="69">
        <v>1.494</v>
      </c>
      <c r="I83" s="69">
        <v>1.494</v>
      </c>
      <c r="J83" s="222"/>
      <c r="K83" s="69">
        <v>1.494</v>
      </c>
      <c r="L83" s="69">
        <v>1.494</v>
      </c>
      <c r="M83" s="69">
        <v>1.494</v>
      </c>
      <c r="N83" s="69">
        <v>1.494</v>
      </c>
      <c r="O83" s="69">
        <v>1.494</v>
      </c>
      <c r="P83" s="69">
        <v>1.494</v>
      </c>
      <c r="Q83" s="69">
        <v>1.494</v>
      </c>
      <c r="R83" s="69">
        <v>1.494</v>
      </c>
      <c r="S83" s="69">
        <v>1.494</v>
      </c>
      <c r="T83" s="69">
        <v>1.494</v>
      </c>
    </row>
    <row r="84" spans="2:21">
      <c r="B84" s="58"/>
      <c r="C84" s="62" t="s">
        <v>91</v>
      </c>
      <c r="D84" s="60" t="s">
        <v>3</v>
      </c>
      <c r="E84" s="97">
        <f>E83/E34</f>
        <v>1.5726315789473684</v>
      </c>
      <c r="F84" s="97">
        <f>F83/F34</f>
        <v>1.5726315789473684</v>
      </c>
      <c r="G84" s="97">
        <f>G83/G34</f>
        <v>1.5726315789473684</v>
      </c>
      <c r="H84" s="97">
        <f>H83/H34</f>
        <v>1.5726315789473684</v>
      </c>
      <c r="I84" s="97">
        <f>I83/I34</f>
        <v>1.5726315789473684</v>
      </c>
      <c r="J84" s="222"/>
      <c r="K84" s="97">
        <f t="shared" ref="K84:T84" si="43">K83/K34</f>
        <v>1.5726315789473684</v>
      </c>
      <c r="L84" s="97">
        <f t="shared" si="43"/>
        <v>1.5726315789473684</v>
      </c>
      <c r="M84" s="97">
        <f t="shared" si="43"/>
        <v>1.5726315789473684</v>
      </c>
      <c r="N84" s="97">
        <f t="shared" si="43"/>
        <v>1.5726315789473684</v>
      </c>
      <c r="O84" s="97">
        <f t="shared" si="43"/>
        <v>1.5726315789473684</v>
      </c>
      <c r="P84" s="97">
        <f t="shared" si="43"/>
        <v>1.5726315789473684</v>
      </c>
      <c r="Q84" s="97">
        <f t="shared" si="43"/>
        <v>1.5726315789473684</v>
      </c>
      <c r="R84" s="97">
        <f t="shared" si="43"/>
        <v>1.5726315789473684</v>
      </c>
      <c r="S84" s="97">
        <f t="shared" si="43"/>
        <v>1.5726315789473684</v>
      </c>
      <c r="T84" s="97">
        <f t="shared" si="43"/>
        <v>1.5726315789473684</v>
      </c>
    </row>
    <row r="85" spans="2:21">
      <c r="B85" s="58"/>
      <c r="C85" s="62" t="s">
        <v>92</v>
      </c>
      <c r="D85" s="60" t="s">
        <v>3</v>
      </c>
      <c r="E85" s="100">
        <f>1/(E34/E28+E35/E29+E36/E30+E37/E31+E39/E33)</f>
        <v>2.1123116947744731</v>
      </c>
      <c r="F85" s="100">
        <f>1/(F34/F28+F35/F29+F36/F30+F37/F31+F39/F33)</f>
        <v>2.1123116947744731</v>
      </c>
      <c r="G85" s="100">
        <f>1/(G34/G28+G35/G29+G36/G30+G37/G31+G39/G33)</f>
        <v>2.1123116947744731</v>
      </c>
      <c r="H85" s="100">
        <f>1/(H34/H28+H35/H29+H36/H30+H37/H31+H39/H33)</f>
        <v>2.1123116947744731</v>
      </c>
      <c r="I85" s="100">
        <f>1/(I34/I28+I35/I29+I36/I30+I37/I31+I39/I33)</f>
        <v>2.1123116947744731</v>
      </c>
      <c r="J85" s="222"/>
      <c r="K85" s="100">
        <f t="shared" ref="K85:T85" si="44">1/(K34/K28+K35/K29+K36/K30+K37/K31+K39/K33)</f>
        <v>2.1123116947744731</v>
      </c>
      <c r="L85" s="100">
        <f t="shared" si="44"/>
        <v>2.1123116947744731</v>
      </c>
      <c r="M85" s="100">
        <f t="shared" si="44"/>
        <v>2.1123116947744731</v>
      </c>
      <c r="N85" s="100">
        <f t="shared" si="44"/>
        <v>2.1123116947744731</v>
      </c>
      <c r="O85" s="100">
        <f t="shared" si="44"/>
        <v>2.1123116947744731</v>
      </c>
      <c r="P85" s="100">
        <f t="shared" si="44"/>
        <v>2.1123116947744731</v>
      </c>
      <c r="Q85" s="100">
        <f t="shared" si="44"/>
        <v>2.1123116947744731</v>
      </c>
      <c r="R85" s="100">
        <f t="shared" si="44"/>
        <v>2.1123116947744731</v>
      </c>
      <c r="S85" s="100">
        <f t="shared" si="44"/>
        <v>2.1123116947744731</v>
      </c>
      <c r="T85" s="100">
        <f t="shared" si="44"/>
        <v>2.1123116947744731</v>
      </c>
    </row>
    <row r="86" spans="2:21">
      <c r="B86" s="58"/>
      <c r="C86" s="62" t="s">
        <v>93</v>
      </c>
      <c r="D86" s="60" t="s">
        <v>1</v>
      </c>
      <c r="E86" s="68">
        <v>0</v>
      </c>
      <c r="F86" s="68">
        <v>0</v>
      </c>
      <c r="G86" s="68">
        <v>0</v>
      </c>
      <c r="H86" s="68">
        <v>0</v>
      </c>
      <c r="I86" s="68">
        <v>0</v>
      </c>
      <c r="J86" s="248"/>
      <c r="K86" s="68">
        <v>0</v>
      </c>
      <c r="L86" s="68">
        <v>0</v>
      </c>
      <c r="M86" s="68">
        <v>0</v>
      </c>
      <c r="N86" s="68">
        <v>0</v>
      </c>
      <c r="O86" s="68">
        <v>0</v>
      </c>
      <c r="P86" s="68">
        <v>0</v>
      </c>
      <c r="Q86" s="68">
        <v>0</v>
      </c>
      <c r="R86" s="68">
        <v>0</v>
      </c>
      <c r="S86" s="68">
        <v>0</v>
      </c>
      <c r="T86" s="68">
        <v>0</v>
      </c>
    </row>
    <row r="87" spans="2:21">
      <c r="B87" s="58"/>
      <c r="C87" s="59" t="s">
        <v>94</v>
      </c>
      <c r="D87" s="101" t="s">
        <v>13</v>
      </c>
      <c r="E87" s="94">
        <f t="shared" ref="E87:I87" si="45">E88/(1+E86)</f>
        <v>174.16733601070953</v>
      </c>
      <c r="F87" s="94">
        <f t="shared" si="45"/>
        <v>174.15260894686133</v>
      </c>
      <c r="G87" s="94">
        <f t="shared" si="45"/>
        <v>174.15260894686133</v>
      </c>
      <c r="H87" s="94">
        <f t="shared" si="45"/>
        <v>174.15260894686133</v>
      </c>
      <c r="I87" s="94">
        <f t="shared" si="45"/>
        <v>149.0924013990909</v>
      </c>
      <c r="J87" s="221"/>
      <c r="K87" s="94">
        <f t="shared" ref="K87:T87" si="46">K88/(1+K86)</f>
        <v>91.076304473430667</v>
      </c>
      <c r="L87" s="94">
        <f t="shared" si="46"/>
        <v>132.61445671014599</v>
      </c>
      <c r="M87" s="94">
        <f t="shared" si="46"/>
        <v>149.0924013990909</v>
      </c>
      <c r="N87" s="94">
        <f t="shared" si="46"/>
        <v>215.69076118357663</v>
      </c>
      <c r="O87" s="94">
        <f t="shared" si="46"/>
        <v>257.22891342029197</v>
      </c>
      <c r="P87" s="94">
        <f t="shared" si="46"/>
        <v>174.15260894686133</v>
      </c>
      <c r="Q87" s="94">
        <f t="shared" si="46"/>
        <v>174.15260894686133</v>
      </c>
      <c r="R87" s="94">
        <f t="shared" si="46"/>
        <v>174.15260894686133</v>
      </c>
      <c r="S87" s="94">
        <f t="shared" si="46"/>
        <v>174.15260894686133</v>
      </c>
      <c r="T87" s="94">
        <f t="shared" si="46"/>
        <v>174.15260894686133</v>
      </c>
    </row>
    <row r="88" spans="2:21">
      <c r="B88" s="58"/>
      <c r="C88" s="59" t="s">
        <v>95</v>
      </c>
      <c r="D88" s="101" t="s">
        <v>13</v>
      </c>
      <c r="E88" s="94">
        <f t="shared" ref="E88:I88" si="47">E79/E84*10000/1000+E91</f>
        <v>174.16733601070953</v>
      </c>
      <c r="F88" s="94">
        <f t="shared" si="47"/>
        <v>174.15260894686133</v>
      </c>
      <c r="G88" s="94">
        <f t="shared" si="47"/>
        <v>174.15260894686133</v>
      </c>
      <c r="H88" s="94">
        <f t="shared" si="47"/>
        <v>174.15260894686133</v>
      </c>
      <c r="I88" s="94">
        <f t="shared" si="47"/>
        <v>149.0924013990909</v>
      </c>
      <c r="J88" s="221"/>
      <c r="K88" s="94">
        <f t="shared" ref="K88:T88" si="48">K79/K84*10000/1000+K91</f>
        <v>91.076304473430667</v>
      </c>
      <c r="L88" s="94">
        <f t="shared" si="48"/>
        <v>132.61445671014599</v>
      </c>
      <c r="M88" s="94">
        <f t="shared" si="48"/>
        <v>149.0924013990909</v>
      </c>
      <c r="N88" s="94">
        <f t="shared" si="48"/>
        <v>215.69076118357663</v>
      </c>
      <c r="O88" s="94">
        <f t="shared" si="48"/>
        <v>257.22891342029197</v>
      </c>
      <c r="P88" s="94">
        <f t="shared" si="48"/>
        <v>174.15260894686133</v>
      </c>
      <c r="Q88" s="94">
        <f t="shared" si="48"/>
        <v>174.15260894686133</v>
      </c>
      <c r="R88" s="94">
        <f t="shared" si="48"/>
        <v>174.15260894686133</v>
      </c>
      <c r="S88" s="94">
        <f t="shared" si="48"/>
        <v>174.15260894686133</v>
      </c>
      <c r="T88" s="94">
        <f t="shared" si="48"/>
        <v>174.15260894686133</v>
      </c>
    </row>
    <row r="89" spans="2:21">
      <c r="B89" s="58"/>
      <c r="C89" s="62" t="s">
        <v>96</v>
      </c>
      <c r="D89" s="60" t="s">
        <v>13</v>
      </c>
      <c r="E89" s="102">
        <v>8</v>
      </c>
      <c r="F89" s="102">
        <v>8</v>
      </c>
      <c r="G89" s="102">
        <v>8</v>
      </c>
      <c r="H89" s="102">
        <v>8</v>
      </c>
      <c r="I89" s="102">
        <v>8</v>
      </c>
      <c r="J89" s="258"/>
      <c r="K89" s="102">
        <v>8</v>
      </c>
      <c r="L89" s="102">
        <v>8</v>
      </c>
      <c r="M89" s="102">
        <v>8</v>
      </c>
      <c r="N89" s="102">
        <v>8</v>
      </c>
      <c r="O89" s="102">
        <v>8</v>
      </c>
      <c r="P89" s="102">
        <v>8</v>
      </c>
      <c r="Q89" s="102">
        <v>8</v>
      </c>
      <c r="R89" s="102">
        <v>8</v>
      </c>
      <c r="S89" s="102">
        <v>8</v>
      </c>
      <c r="T89" s="102">
        <v>8</v>
      </c>
    </row>
    <row r="90" spans="2:21">
      <c r="B90" s="58"/>
      <c r="C90" s="62" t="s">
        <v>76</v>
      </c>
      <c r="D90" s="60" t="s">
        <v>1</v>
      </c>
      <c r="E90" s="95">
        <v>0</v>
      </c>
      <c r="F90" s="95">
        <v>0</v>
      </c>
      <c r="G90" s="95">
        <v>0</v>
      </c>
      <c r="H90" s="95">
        <v>0</v>
      </c>
      <c r="I90" s="95">
        <v>0</v>
      </c>
      <c r="J90" s="221"/>
      <c r="K90" s="95">
        <v>0</v>
      </c>
      <c r="L90" s="95">
        <v>0</v>
      </c>
      <c r="M90" s="95">
        <v>0</v>
      </c>
      <c r="N90" s="95">
        <v>0</v>
      </c>
      <c r="O90" s="95">
        <v>0</v>
      </c>
      <c r="P90" s="95">
        <v>0</v>
      </c>
      <c r="Q90" s="95">
        <v>0</v>
      </c>
      <c r="R90" s="95">
        <v>0</v>
      </c>
      <c r="S90" s="95">
        <v>0</v>
      </c>
      <c r="T90" s="95">
        <v>0</v>
      </c>
    </row>
    <row r="91" spans="2:21" ht="16" thickBot="1">
      <c r="B91" s="58"/>
      <c r="C91" s="72" t="s">
        <v>97</v>
      </c>
      <c r="D91" s="73" t="s">
        <v>13</v>
      </c>
      <c r="E91" s="103">
        <f t="shared" ref="E91:I91" si="49">E89/(1+E90)</f>
        <v>8</v>
      </c>
      <c r="F91" s="103">
        <f t="shared" si="49"/>
        <v>8</v>
      </c>
      <c r="G91" s="103">
        <f t="shared" si="49"/>
        <v>8</v>
      </c>
      <c r="H91" s="103">
        <f t="shared" si="49"/>
        <v>8</v>
      </c>
      <c r="I91" s="103">
        <f t="shared" si="49"/>
        <v>8</v>
      </c>
      <c r="J91" s="259"/>
      <c r="K91" s="103">
        <f t="shared" ref="K91:T91" si="50">K89/(1+K90)</f>
        <v>8</v>
      </c>
      <c r="L91" s="103">
        <f t="shared" si="50"/>
        <v>8</v>
      </c>
      <c r="M91" s="103">
        <f t="shared" si="50"/>
        <v>8</v>
      </c>
      <c r="N91" s="103">
        <f t="shared" si="50"/>
        <v>8</v>
      </c>
      <c r="O91" s="103">
        <f t="shared" si="50"/>
        <v>8</v>
      </c>
      <c r="P91" s="103">
        <f t="shared" si="50"/>
        <v>8</v>
      </c>
      <c r="Q91" s="103">
        <f t="shared" si="50"/>
        <v>8</v>
      </c>
      <c r="R91" s="103">
        <f t="shared" si="50"/>
        <v>8</v>
      </c>
      <c r="S91" s="103">
        <f t="shared" si="50"/>
        <v>8</v>
      </c>
      <c r="T91" s="103">
        <f t="shared" si="50"/>
        <v>8</v>
      </c>
    </row>
    <row r="92" spans="2:21">
      <c r="B92" s="78"/>
      <c r="C92" s="75" t="s">
        <v>98</v>
      </c>
      <c r="D92" s="104" t="s">
        <v>15</v>
      </c>
      <c r="E92" s="105">
        <f>E79/2/1000*E76/100+E81/1000*E77/100</f>
        <v>15.2094358</v>
      </c>
      <c r="F92" s="105">
        <f>F79/2/1000*F76/100+F81/1000*F77/100</f>
        <v>15.207994121592774</v>
      </c>
      <c r="G92" s="105">
        <f>G79/2/1000*G76/100+G81/1000*G77/100</f>
        <v>10.230322461564059</v>
      </c>
      <c r="H92" s="105">
        <f>H79/2/1000*H76/100+H81/1000*H77/100</f>
        <v>86.023347520771978</v>
      </c>
      <c r="I92" s="105">
        <f>I79/2/1000*I76/100+I81/1000*I77/100</f>
        <v>82.824847223376224</v>
      </c>
      <c r="J92" s="260"/>
      <c r="K92" s="105">
        <f t="shared" ref="K92:T92" si="51">K79/2/1000*K76/100+K81/1000*K77/100</f>
        <v>74.766048378102212</v>
      </c>
      <c r="L92" s="105">
        <f t="shared" si="51"/>
        <v>81.137102948853013</v>
      </c>
      <c r="M92" s="105">
        <f t="shared" si="51"/>
        <v>82.824847223376224</v>
      </c>
      <c r="N92" s="105">
        <f t="shared" si="51"/>
        <v>87.398148248659723</v>
      </c>
      <c r="O92" s="105">
        <f t="shared" si="51"/>
        <v>89.257447207648681</v>
      </c>
      <c r="P92" s="105">
        <f t="shared" si="51"/>
        <v>79.070284681817739</v>
      </c>
      <c r="Q92" s="105">
        <f t="shared" si="51"/>
        <v>81.180613850751129</v>
      </c>
      <c r="R92" s="105">
        <f t="shared" si="51"/>
        <v>83.140185221383263</v>
      </c>
      <c r="S92" s="105">
        <f t="shared" si="51"/>
        <v>84.96459629846629</v>
      </c>
      <c r="T92" s="105">
        <f t="shared" si="51"/>
        <v>85.830412588946416</v>
      </c>
    </row>
    <row r="93" spans="2:21">
      <c r="B93" s="78"/>
      <c r="C93" s="82" t="s">
        <v>99</v>
      </c>
      <c r="D93" s="86" t="s">
        <v>15</v>
      </c>
      <c r="E93" s="83">
        <f>E92*E34</f>
        <v>14.448964009999999</v>
      </c>
      <c r="F93" s="83">
        <f>F92*F34</f>
        <v>14.447594415513136</v>
      </c>
      <c r="G93" s="83">
        <f>G92*G34</f>
        <v>9.7188063384858552</v>
      </c>
      <c r="H93" s="83">
        <f>H92*H34</f>
        <v>81.722180144733372</v>
      </c>
      <c r="I93" s="83">
        <f>I92*I34</f>
        <v>78.683604862207403</v>
      </c>
      <c r="J93" s="179"/>
      <c r="K93" s="83">
        <f t="shared" ref="K93:T93" si="52">K92*K34</f>
        <v>71.027745959197105</v>
      </c>
      <c r="L93" s="83">
        <f t="shared" si="52"/>
        <v>77.080247801410351</v>
      </c>
      <c r="M93" s="83">
        <f t="shared" si="52"/>
        <v>78.683604862207403</v>
      </c>
      <c r="N93" s="83">
        <f t="shared" si="52"/>
        <v>83.028240836226729</v>
      </c>
      <c r="O93" s="83">
        <f t="shared" si="52"/>
        <v>84.794574847266247</v>
      </c>
      <c r="P93" s="83">
        <f t="shared" si="52"/>
        <v>75.11677044772685</v>
      </c>
      <c r="Q93" s="83">
        <f t="shared" si="52"/>
        <v>77.121583158213568</v>
      </c>
      <c r="R93" s="83">
        <f t="shared" si="52"/>
        <v>78.983175960314099</v>
      </c>
      <c r="S93" s="83">
        <f t="shared" si="52"/>
        <v>80.71636648354297</v>
      </c>
      <c r="T93" s="83">
        <f t="shared" si="52"/>
        <v>81.538891959499097</v>
      </c>
    </row>
    <row r="94" spans="2:21">
      <c r="B94" s="78"/>
      <c r="C94" s="79" t="s">
        <v>100</v>
      </c>
      <c r="D94" s="80" t="s">
        <v>15</v>
      </c>
      <c r="E94" s="83">
        <f>E92*E35</f>
        <v>0.15209435800000001</v>
      </c>
      <c r="F94" s="83">
        <f>F92*F35</f>
        <v>0.15207994121592774</v>
      </c>
      <c r="G94" s="83">
        <f>G92*G35</f>
        <v>0.10230322461564059</v>
      </c>
      <c r="H94" s="83">
        <f>H92*H35</f>
        <v>0.86023347520771976</v>
      </c>
      <c r="I94" s="83">
        <f>I92*I35</f>
        <v>0.8282484722337623</v>
      </c>
      <c r="J94" s="179"/>
      <c r="K94" s="83">
        <f t="shared" ref="K94:T94" si="53">K92*K35</f>
        <v>0.74766048378102212</v>
      </c>
      <c r="L94" s="83">
        <f t="shared" si="53"/>
        <v>0.81137102948853013</v>
      </c>
      <c r="M94" s="83">
        <f t="shared" si="53"/>
        <v>0.8282484722337623</v>
      </c>
      <c r="N94" s="83">
        <f t="shared" si="53"/>
        <v>0.87398148248659724</v>
      </c>
      <c r="O94" s="83">
        <f t="shared" si="53"/>
        <v>0.89257447207648688</v>
      </c>
      <c r="P94" s="83">
        <f t="shared" si="53"/>
        <v>0.79070284681817737</v>
      </c>
      <c r="Q94" s="83">
        <f t="shared" si="53"/>
        <v>0.81180613850751127</v>
      </c>
      <c r="R94" s="83">
        <f t="shared" si="53"/>
        <v>0.83140185221383267</v>
      </c>
      <c r="S94" s="83">
        <f t="shared" si="53"/>
        <v>0.84964596298466288</v>
      </c>
      <c r="T94" s="83">
        <f t="shared" si="53"/>
        <v>0.85830412588946414</v>
      </c>
    </row>
    <row r="95" spans="2:21">
      <c r="B95" s="78"/>
      <c r="C95" s="79" t="s">
        <v>101</v>
      </c>
      <c r="D95" s="80" t="s">
        <v>15</v>
      </c>
      <c r="E95" s="83">
        <f>E92*E36</f>
        <v>0</v>
      </c>
      <c r="F95" s="83">
        <f>F92*F36</f>
        <v>0</v>
      </c>
      <c r="G95" s="83">
        <f>G92*G36</f>
        <v>0</v>
      </c>
      <c r="H95" s="83">
        <f>H92*H36</f>
        <v>0</v>
      </c>
      <c r="I95" s="83">
        <f>I92*I36</f>
        <v>0</v>
      </c>
      <c r="J95" s="179"/>
      <c r="K95" s="83">
        <f t="shared" ref="K95:T95" si="54">K92*K36</f>
        <v>0</v>
      </c>
      <c r="L95" s="83">
        <f t="shared" si="54"/>
        <v>0</v>
      </c>
      <c r="M95" s="83">
        <f t="shared" si="54"/>
        <v>0</v>
      </c>
      <c r="N95" s="83">
        <f t="shared" si="54"/>
        <v>0</v>
      </c>
      <c r="O95" s="83">
        <f t="shared" si="54"/>
        <v>0</v>
      </c>
      <c r="P95" s="83">
        <f t="shared" si="54"/>
        <v>0</v>
      </c>
      <c r="Q95" s="83">
        <f t="shared" si="54"/>
        <v>0</v>
      </c>
      <c r="R95" s="83">
        <f t="shared" si="54"/>
        <v>0</v>
      </c>
      <c r="S95" s="83">
        <f t="shared" si="54"/>
        <v>0</v>
      </c>
      <c r="T95" s="83">
        <f t="shared" si="54"/>
        <v>0</v>
      </c>
    </row>
    <row r="96" spans="2:21">
      <c r="B96" s="78"/>
      <c r="C96" s="79" t="s">
        <v>9</v>
      </c>
      <c r="D96" s="80" t="s">
        <v>15</v>
      </c>
      <c r="E96" s="83">
        <f>E92*E38</f>
        <v>0</v>
      </c>
      <c r="F96" s="83">
        <f>F92*F38</f>
        <v>0</v>
      </c>
      <c r="G96" s="83">
        <f>G92*G38</f>
        <v>0</v>
      </c>
      <c r="H96" s="83">
        <f>H92*H38</f>
        <v>0</v>
      </c>
      <c r="I96" s="83">
        <f>I92*I38</f>
        <v>0</v>
      </c>
      <c r="J96" s="179"/>
      <c r="K96" s="83">
        <f t="shared" ref="K96:T96" si="55">K92*K38</f>
        <v>0</v>
      </c>
      <c r="L96" s="83">
        <f t="shared" si="55"/>
        <v>0</v>
      </c>
      <c r="M96" s="83">
        <f t="shared" si="55"/>
        <v>0</v>
      </c>
      <c r="N96" s="83">
        <f t="shared" si="55"/>
        <v>0</v>
      </c>
      <c r="O96" s="83">
        <f t="shared" si="55"/>
        <v>0</v>
      </c>
      <c r="P96" s="83">
        <f t="shared" si="55"/>
        <v>0</v>
      </c>
      <c r="Q96" s="83">
        <f t="shared" si="55"/>
        <v>0</v>
      </c>
      <c r="R96" s="83">
        <f t="shared" si="55"/>
        <v>0</v>
      </c>
      <c r="S96" s="83">
        <f t="shared" si="55"/>
        <v>0</v>
      </c>
      <c r="T96" s="83">
        <f t="shared" si="55"/>
        <v>0</v>
      </c>
    </row>
    <row r="97" spans="2:20">
      <c r="B97" s="78"/>
      <c r="C97" s="79" t="s">
        <v>102</v>
      </c>
      <c r="D97" s="80" t="s">
        <v>15</v>
      </c>
      <c r="E97" s="83">
        <f>E92*E39</f>
        <v>0.38023589499999999</v>
      </c>
      <c r="F97" s="83">
        <f>F92*F39</f>
        <v>0.3801998530398194</v>
      </c>
      <c r="G97" s="83">
        <f>G92*G39</f>
        <v>0.25575806153910147</v>
      </c>
      <c r="H97" s="83">
        <f>H92*H39</f>
        <v>2.1505836880192994</v>
      </c>
      <c r="I97" s="83">
        <f>I92*I39</f>
        <v>2.0706211805844057</v>
      </c>
      <c r="J97" s="179"/>
      <c r="K97" s="83">
        <f t="shared" ref="K97:T97" si="56">K92*K39</f>
        <v>1.8691512094525553</v>
      </c>
      <c r="L97" s="83">
        <f t="shared" si="56"/>
        <v>2.0284275737213253</v>
      </c>
      <c r="M97" s="83">
        <f t="shared" si="56"/>
        <v>2.0706211805844057</v>
      </c>
      <c r="N97" s="83">
        <f t="shared" si="56"/>
        <v>2.184953706216493</v>
      </c>
      <c r="O97" s="83">
        <f t="shared" si="56"/>
        <v>2.231436180191217</v>
      </c>
      <c r="P97" s="83">
        <f t="shared" si="56"/>
        <v>1.9767571170454437</v>
      </c>
      <c r="Q97" s="83">
        <f t="shared" si="56"/>
        <v>2.0295153462687785</v>
      </c>
      <c r="R97" s="83">
        <f t="shared" si="56"/>
        <v>2.0785046305345816</v>
      </c>
      <c r="S97" s="83">
        <f t="shared" si="56"/>
        <v>2.1241149074616574</v>
      </c>
      <c r="T97" s="83">
        <f t="shared" si="56"/>
        <v>2.1457603147236606</v>
      </c>
    </row>
    <row r="98" spans="2:20">
      <c r="B98" s="78"/>
      <c r="C98" s="79" t="s">
        <v>103</v>
      </c>
      <c r="D98" s="80" t="s">
        <v>15</v>
      </c>
      <c r="E98" s="83">
        <f>E92*E37</f>
        <v>0.22814153699999998</v>
      </c>
      <c r="F98" s="83">
        <f>F92*F37</f>
        <v>0.2281199118238916</v>
      </c>
      <c r="G98" s="83">
        <f>G92*G37</f>
        <v>0.15345483692346087</v>
      </c>
      <c r="H98" s="83">
        <f>H92*H37</f>
        <v>1.2903502128115796</v>
      </c>
      <c r="I98" s="83">
        <f>I92*I37</f>
        <v>1.2423727083506433</v>
      </c>
      <c r="J98" s="179"/>
      <c r="K98" s="83">
        <f t="shared" ref="K98:T98" si="57">K92*K37</f>
        <v>1.1214907256715332</v>
      </c>
      <c r="L98" s="83">
        <f t="shared" si="57"/>
        <v>1.2170565442327952</v>
      </c>
      <c r="M98" s="83">
        <f t="shared" si="57"/>
        <v>1.2423727083506433</v>
      </c>
      <c r="N98" s="83">
        <f t="shared" si="57"/>
        <v>1.3109722237298957</v>
      </c>
      <c r="O98" s="83">
        <f t="shared" si="57"/>
        <v>1.3388617081147303</v>
      </c>
      <c r="P98" s="83">
        <f t="shared" si="57"/>
        <v>1.1860542702272661</v>
      </c>
      <c r="Q98" s="83">
        <f t="shared" si="57"/>
        <v>1.2177092077612668</v>
      </c>
      <c r="R98" s="83">
        <f t="shared" si="57"/>
        <v>1.2471027783207489</v>
      </c>
      <c r="S98" s="83">
        <f t="shared" si="57"/>
        <v>1.2744689444769943</v>
      </c>
      <c r="T98" s="83">
        <f t="shared" si="57"/>
        <v>1.2874561888341962</v>
      </c>
    </row>
    <row r="99" spans="2:20">
      <c r="B99" s="78"/>
      <c r="C99" s="79" t="s">
        <v>104</v>
      </c>
      <c r="D99" s="80" t="s">
        <v>3</v>
      </c>
      <c r="E99" s="84">
        <v>8.4600000000000009</v>
      </c>
      <c r="F99" s="84">
        <v>8.4600000000000009</v>
      </c>
      <c r="G99" s="84">
        <v>8.4600000000000009</v>
      </c>
      <c r="H99" s="84">
        <v>8.4600000000000009</v>
      </c>
      <c r="I99" s="84">
        <v>8.4600000000000009</v>
      </c>
      <c r="J99" s="179"/>
      <c r="K99" s="84">
        <v>8.4600000000000009</v>
      </c>
      <c r="L99" s="84">
        <v>8.4600000000000009</v>
      </c>
      <c r="M99" s="84">
        <v>8.4600000000000009</v>
      </c>
      <c r="N99" s="84">
        <v>8.4600000000000009</v>
      </c>
      <c r="O99" s="84">
        <v>8.4600000000000009</v>
      </c>
      <c r="P99" s="84">
        <v>8.4600000000000009</v>
      </c>
      <c r="Q99" s="84">
        <v>8.4600000000000009</v>
      </c>
      <c r="R99" s="84">
        <v>8.4600000000000009</v>
      </c>
      <c r="S99" s="84">
        <v>8.4600000000000009</v>
      </c>
      <c r="T99" s="84">
        <v>8.4600000000000009</v>
      </c>
    </row>
    <row r="100" spans="2:20">
      <c r="B100" s="78"/>
      <c r="C100" s="85" t="s">
        <v>105</v>
      </c>
      <c r="D100" s="86" t="s">
        <v>15</v>
      </c>
      <c r="E100" s="106">
        <f>E82/1000*(E69*E70)/100</f>
        <v>4.2364296000000001</v>
      </c>
      <c r="F100" s="106">
        <f>F82/1000*(F69*F70)/100</f>
        <v>4.2366385917685738</v>
      </c>
      <c r="G100" s="106">
        <f>G82/1000*(G69*G70)/100</f>
        <v>2.9053300061416514</v>
      </c>
      <c r="H100" s="106">
        <f>H82/1000*(H69*H70)/100</f>
        <v>22.85946989968064</v>
      </c>
      <c r="I100" s="106">
        <f>I82/1000*((I69+I72)*I70)/100</f>
        <v>26.997710059086266</v>
      </c>
      <c r="J100" s="261"/>
      <c r="K100" s="106">
        <f t="shared" ref="K100:T100" si="58">K82/1000*((K69+K72)*K70)/100</f>
        <v>41.193314365199797</v>
      </c>
      <c r="L100" s="106">
        <f t="shared" si="58"/>
        <v>29.904442592551849</v>
      </c>
      <c r="M100" s="106">
        <f t="shared" si="58"/>
        <v>26.997710059086266</v>
      </c>
      <c r="N100" s="106">
        <f t="shared" si="58"/>
        <v>19.458001254723388</v>
      </c>
      <c r="O100" s="106">
        <f t="shared" si="58"/>
        <v>16.61510019665679</v>
      </c>
      <c r="P100" s="106">
        <f t="shared" si="58"/>
        <v>21.956413304653648</v>
      </c>
      <c r="Q100" s="106">
        <f t="shared" si="58"/>
        <v>22.532568228294693</v>
      </c>
      <c r="R100" s="106">
        <f t="shared" si="58"/>
        <v>23.067563768344179</v>
      </c>
      <c r="S100" s="106">
        <f t="shared" si="58"/>
        <v>23.565658302732821</v>
      </c>
      <c r="T100" s="106">
        <f t="shared" si="58"/>
        <v>23.802040534506109</v>
      </c>
    </row>
    <row r="101" spans="2:20">
      <c r="B101" s="78"/>
      <c r="C101" s="85" t="s">
        <v>196</v>
      </c>
      <c r="D101" s="86" t="s">
        <v>15</v>
      </c>
      <c r="E101" s="107">
        <f>E79/1000*(E69*E73)/100+E81/1000*(E69*E74)/100+E82/1000*(E69*E70)/100</f>
        <v>19.445865399999999</v>
      </c>
      <c r="F101" s="107">
        <f>F79/1000*(F69*F73)/100+F81/1000*(F69*F74)/100+F82/1000*(F69*F70)/100</f>
        <v>19.444632713361347</v>
      </c>
      <c r="G101" s="107">
        <f>G79/1000*(G69*G73)/100+G81/1000*(G69*G74)/100+G82/1000*(G69*G70)/100</f>
        <v>13.135652467705711</v>
      </c>
      <c r="H101" s="107">
        <f>H79/1000*(H69*H73)/100+H81/1000*(H69*H74)/100+H82/1000*(H69*H70)/100</f>
        <v>108.88281742045262</v>
      </c>
      <c r="I101" s="107">
        <f>I79/1000*(I69*I73)/100+I81/1000*(I69*I74)/100+I82/1000*(I69*I70)/100</f>
        <v>108.43805933071448</v>
      </c>
      <c r="J101" s="262"/>
      <c r="K101" s="107">
        <f t="shared" ref="K101:T101" si="59">K79/1000*(K69*K73)/100+K81/1000*(K69*K74)/100+K82/1000*(K69*K70)/100</f>
        <v>113.84688508354816</v>
      </c>
      <c r="L101" s="107">
        <f t="shared" si="59"/>
        <v>109.50798438281245</v>
      </c>
      <c r="M101" s="107">
        <f t="shared" si="59"/>
        <v>108.43805933071448</v>
      </c>
      <c r="N101" s="107">
        <f t="shared" si="59"/>
        <v>105.85830328519216</v>
      </c>
      <c r="O101" s="107">
        <f t="shared" si="59"/>
        <v>105.02049098396409</v>
      </c>
      <c r="P101" s="107">
        <f t="shared" si="59"/>
        <v>99.900728073412225</v>
      </c>
      <c r="Q101" s="107">
        <f t="shared" si="59"/>
        <v>102.55766575964608</v>
      </c>
      <c r="R101" s="107">
        <f t="shared" si="59"/>
        <v>105.02479700160723</v>
      </c>
      <c r="S101" s="107">
        <f t="shared" si="59"/>
        <v>107.32175930362307</v>
      </c>
      <c r="T101" s="107">
        <f t="shared" si="59"/>
        <v>108.41183566014452</v>
      </c>
    </row>
    <row r="102" spans="2:20" ht="16" thickBot="1">
      <c r="B102" s="78"/>
      <c r="C102" s="301" t="s">
        <v>278</v>
      </c>
      <c r="D102" s="88" t="s">
        <v>15</v>
      </c>
      <c r="E102" s="108">
        <f>E101</f>
        <v>19.445865399999999</v>
      </c>
      <c r="F102" s="108">
        <f>F101</f>
        <v>19.444632713361347</v>
      </c>
      <c r="G102" s="108">
        <f>G101</f>
        <v>13.135652467705711</v>
      </c>
      <c r="H102" s="108">
        <f>H101</f>
        <v>108.88281742045262</v>
      </c>
      <c r="I102" s="108">
        <f>I101</f>
        <v>108.43805933071448</v>
      </c>
      <c r="J102" s="263"/>
      <c r="K102" s="108">
        <f t="shared" ref="K102:T102" si="60">K101</f>
        <v>113.84688508354816</v>
      </c>
      <c r="L102" s="108">
        <f t="shared" si="60"/>
        <v>109.50798438281245</v>
      </c>
      <c r="M102" s="108">
        <f t="shared" si="60"/>
        <v>108.43805933071448</v>
      </c>
      <c r="N102" s="108">
        <f t="shared" si="60"/>
        <v>105.85830328519216</v>
      </c>
      <c r="O102" s="108">
        <f t="shared" si="60"/>
        <v>105.02049098396409</v>
      </c>
      <c r="P102" s="108">
        <f t="shared" si="60"/>
        <v>99.900728073412225</v>
      </c>
      <c r="Q102" s="108">
        <f t="shared" si="60"/>
        <v>102.55766575964608</v>
      </c>
      <c r="R102" s="108">
        <f t="shared" si="60"/>
        <v>105.02479700160723</v>
      </c>
      <c r="S102" s="108">
        <f t="shared" si="60"/>
        <v>107.32175930362307</v>
      </c>
      <c r="T102" s="108">
        <f t="shared" si="60"/>
        <v>108.41183566014452</v>
      </c>
    </row>
    <row r="103" spans="2:20">
      <c r="B103" s="24"/>
      <c r="C103" s="177" t="s">
        <v>106</v>
      </c>
      <c r="D103" s="171" t="s">
        <v>16</v>
      </c>
      <c r="E103" s="109">
        <f>E92/E84</f>
        <v>9.6713279852744307</v>
      </c>
      <c r="F103" s="109">
        <f>F92/F84</f>
        <v>9.6704112553635451</v>
      </c>
      <c r="G103" s="109">
        <f>G92/G84</f>
        <v>6.5052251261618848</v>
      </c>
      <c r="H103" s="109">
        <f>H92/H84</f>
        <v>54.700254447612707</v>
      </c>
      <c r="I103" s="109">
        <f>I92/I84</f>
        <v>52.666402183539098</v>
      </c>
      <c r="J103" s="264"/>
      <c r="K103" s="109">
        <f t="shared" ref="K103:T103" si="61">K92/K84</f>
        <v>47.541998634000741</v>
      </c>
      <c r="L103" s="109">
        <f t="shared" si="61"/>
        <v>51.593204686352315</v>
      </c>
      <c r="M103" s="109">
        <f t="shared" si="61"/>
        <v>52.666402183539098</v>
      </c>
      <c r="N103" s="109">
        <f t="shared" si="61"/>
        <v>55.574458391048687</v>
      </c>
      <c r="O103" s="109">
        <f t="shared" si="61"/>
        <v>56.756743539000169</v>
      </c>
      <c r="P103" s="109">
        <f t="shared" si="61"/>
        <v>50.2789628164169</v>
      </c>
      <c r="Q103" s="109">
        <f t="shared" si="61"/>
        <v>51.620872261187131</v>
      </c>
      <c r="R103" s="109">
        <f t="shared" si="61"/>
        <v>52.866918313463252</v>
      </c>
      <c r="S103" s="109">
        <f t="shared" si="61"/>
        <v>54.027019065289814</v>
      </c>
      <c r="T103" s="109">
        <f t="shared" si="61"/>
        <v>54.577571592703549</v>
      </c>
    </row>
    <row r="104" spans="2:20" ht="16" thickBot="1">
      <c r="B104" s="24"/>
      <c r="C104" s="178" t="s">
        <v>107</v>
      </c>
      <c r="D104" s="172" t="s">
        <v>16</v>
      </c>
      <c r="E104" s="42">
        <f>E103-E92/E85</f>
        <v>2.4709532311007205</v>
      </c>
      <c r="F104" s="42">
        <f>F103-F92/F85</f>
        <v>2.470719013345021</v>
      </c>
      <c r="G104" s="42">
        <f>G103-G92/G85</f>
        <v>1.6620372165024024</v>
      </c>
      <c r="H104" s="42">
        <f>H103-H92/H85</f>
        <v>13.975513050033832</v>
      </c>
      <c r="I104" s="42">
        <f>I103-I92/I85</f>
        <v>13.455878742196674</v>
      </c>
      <c r="J104" s="265"/>
      <c r="K104" s="42">
        <f t="shared" ref="K104:T104" si="62">K103-K92/K85</f>
        <v>12.146631291642294</v>
      </c>
      <c r="L104" s="42">
        <f t="shared" si="62"/>
        <v>13.181684667988812</v>
      </c>
      <c r="M104" s="42">
        <f t="shared" si="62"/>
        <v>13.455878742196674</v>
      </c>
      <c r="N104" s="42">
        <f t="shared" si="62"/>
        <v>14.198865733549795</v>
      </c>
      <c r="O104" s="42">
        <f t="shared" si="62"/>
        <v>14.500930900904393</v>
      </c>
      <c r="P104" s="42">
        <f t="shared" si="62"/>
        <v>12.845905527842874</v>
      </c>
      <c r="Q104" s="42">
        <f t="shared" si="62"/>
        <v>13.188753530045702</v>
      </c>
      <c r="R104" s="42">
        <f t="shared" si="62"/>
        <v>13.507109139912302</v>
      </c>
      <c r="S104" s="42">
        <f t="shared" si="62"/>
        <v>13.803506357077602</v>
      </c>
      <c r="T104" s="42">
        <f t="shared" si="62"/>
        <v>13.94416848213168</v>
      </c>
    </row>
    <row r="105" spans="2:20">
      <c r="B105" s="54" t="s">
        <v>197</v>
      </c>
      <c r="C105" s="55" t="s">
        <v>108</v>
      </c>
      <c r="D105" s="173" t="s">
        <v>11</v>
      </c>
      <c r="E105" s="168">
        <f>E69-E40</f>
        <v>2</v>
      </c>
      <c r="F105" s="168">
        <v>2</v>
      </c>
      <c r="G105" s="168">
        <v>2</v>
      </c>
      <c r="H105" s="168">
        <v>2</v>
      </c>
      <c r="I105" s="168">
        <v>2</v>
      </c>
      <c r="J105" s="168"/>
      <c r="K105" s="168">
        <v>2</v>
      </c>
      <c r="L105" s="168">
        <v>2</v>
      </c>
      <c r="M105" s="168">
        <v>2</v>
      </c>
      <c r="N105" s="168">
        <v>2</v>
      </c>
      <c r="O105" s="168">
        <v>2</v>
      </c>
      <c r="P105" s="168">
        <v>2</v>
      </c>
      <c r="Q105" s="168">
        <v>2</v>
      </c>
      <c r="R105" s="168">
        <v>2</v>
      </c>
      <c r="S105" s="168">
        <v>2</v>
      </c>
      <c r="T105" s="168">
        <v>2</v>
      </c>
    </row>
    <row r="106" spans="2:20">
      <c r="B106" s="58"/>
      <c r="C106" s="62" t="s">
        <v>198</v>
      </c>
      <c r="D106" s="174" t="s">
        <v>11</v>
      </c>
      <c r="E106" s="169">
        <f>E113-E69</f>
        <v>2</v>
      </c>
      <c r="F106" s="169">
        <v>2</v>
      </c>
      <c r="G106" s="169">
        <v>2</v>
      </c>
      <c r="H106" s="169">
        <v>2</v>
      </c>
      <c r="I106" s="169">
        <v>2</v>
      </c>
      <c r="J106" s="223"/>
      <c r="K106" s="169">
        <v>2</v>
      </c>
      <c r="L106" s="169">
        <v>2</v>
      </c>
      <c r="M106" s="169">
        <v>2</v>
      </c>
      <c r="N106" s="169">
        <v>2</v>
      </c>
      <c r="O106" s="169">
        <v>2</v>
      </c>
      <c r="P106" s="169">
        <v>2</v>
      </c>
      <c r="Q106" s="169">
        <v>2</v>
      </c>
      <c r="R106" s="169">
        <v>2</v>
      </c>
      <c r="S106" s="169">
        <v>2</v>
      </c>
      <c r="T106" s="169">
        <v>2</v>
      </c>
    </row>
    <row r="107" spans="2:20">
      <c r="B107" s="58"/>
      <c r="C107" s="62" t="s">
        <v>199</v>
      </c>
      <c r="D107" s="174" t="s">
        <v>11</v>
      </c>
      <c r="E107" s="170">
        <f>E70-E41</f>
        <v>98</v>
      </c>
      <c r="F107" s="170">
        <f>F70-F41</f>
        <v>98.264779596046537</v>
      </c>
      <c r="G107" s="170">
        <f>G70-G41</f>
        <v>88.844779596046578</v>
      </c>
      <c r="H107" s="170">
        <f>H70-H41</f>
        <v>183.76477959604654</v>
      </c>
      <c r="I107" s="170">
        <f>I70-I41</f>
        <v>139.72543507019691</v>
      </c>
      <c r="J107" s="224"/>
      <c r="K107" s="170">
        <f t="shared" ref="K107:T107" si="63">K70-K41</f>
        <v>139.63434979802332</v>
      </c>
      <c r="L107" s="170">
        <f t="shared" si="63"/>
        <v>139.69956469703538</v>
      </c>
      <c r="M107" s="170">
        <f t="shared" si="63"/>
        <v>139.72543507019691</v>
      </c>
      <c r="N107" s="170">
        <f t="shared" si="63"/>
        <v>139.82999449505814</v>
      </c>
      <c r="O107" s="170">
        <f t="shared" si="63"/>
        <v>139.89520939406975</v>
      </c>
      <c r="P107" s="170">
        <f t="shared" si="63"/>
        <v>139.76477959604654</v>
      </c>
      <c r="Q107" s="170">
        <f t="shared" si="63"/>
        <v>139.76477959604654</v>
      </c>
      <c r="R107" s="170">
        <f t="shared" si="63"/>
        <v>139.76477959604654</v>
      </c>
      <c r="S107" s="170">
        <f t="shared" si="63"/>
        <v>139.76477959604654</v>
      </c>
      <c r="T107" s="170">
        <f t="shared" si="63"/>
        <v>139.76477959604654</v>
      </c>
    </row>
    <row r="108" spans="2:20">
      <c r="B108" s="58"/>
      <c r="C108" s="62" t="s">
        <v>200</v>
      </c>
      <c r="D108" s="175" t="s">
        <v>31</v>
      </c>
      <c r="E108" s="162">
        <f>15</f>
        <v>15</v>
      </c>
      <c r="F108" s="162">
        <f>15</f>
        <v>15</v>
      </c>
      <c r="G108" s="162">
        <f>15</f>
        <v>15</v>
      </c>
      <c r="H108" s="162">
        <f>15</f>
        <v>15</v>
      </c>
      <c r="I108" s="162">
        <f>15</f>
        <v>15</v>
      </c>
      <c r="J108" s="266"/>
      <c r="K108" s="162">
        <f>15</f>
        <v>15</v>
      </c>
      <c r="L108" s="162">
        <f>15</f>
        <v>15</v>
      </c>
      <c r="M108" s="162">
        <f>15</f>
        <v>15</v>
      </c>
      <c r="N108" s="162">
        <f>15</f>
        <v>15</v>
      </c>
      <c r="O108" s="162">
        <f>15</f>
        <v>15</v>
      </c>
      <c r="P108" s="162">
        <f>15</f>
        <v>15</v>
      </c>
      <c r="Q108" s="162">
        <f>15</f>
        <v>15</v>
      </c>
      <c r="R108" s="162">
        <f>15</f>
        <v>15</v>
      </c>
      <c r="S108" s="162">
        <f>15</f>
        <v>15</v>
      </c>
      <c r="T108" s="162">
        <f>15</f>
        <v>15</v>
      </c>
    </row>
    <row r="109" spans="2:20">
      <c r="B109" s="58"/>
      <c r="C109" s="62" t="s">
        <v>201</v>
      </c>
      <c r="D109" s="175" t="s">
        <v>31</v>
      </c>
      <c r="E109" s="162">
        <f>E74+E75</f>
        <v>83</v>
      </c>
      <c r="F109" s="162">
        <f t="shared" ref="F109:I109" si="64">F74+F75</f>
        <v>83.264779596046566</v>
      </c>
      <c r="G109" s="162">
        <f t="shared" si="64"/>
        <v>73.844779596046578</v>
      </c>
      <c r="H109" s="162">
        <f t="shared" si="64"/>
        <v>161.76477959604659</v>
      </c>
      <c r="I109" s="162">
        <f t="shared" si="64"/>
        <v>139.7254350701966</v>
      </c>
      <c r="J109" s="266"/>
      <c r="K109" s="162">
        <f t="shared" ref="K109:T109" si="65">K74+K75</f>
        <v>139.63434979802329</v>
      </c>
      <c r="L109" s="162">
        <f t="shared" si="65"/>
        <v>139.69956469703493</v>
      </c>
      <c r="M109" s="162">
        <f t="shared" si="65"/>
        <v>139.7254350701966</v>
      </c>
      <c r="N109" s="162">
        <f t="shared" si="65"/>
        <v>139.82999449505823</v>
      </c>
      <c r="O109" s="162">
        <f t="shared" si="65"/>
        <v>139.89520939406987</v>
      </c>
      <c r="P109" s="162">
        <f t="shared" si="65"/>
        <v>139.76477959604659</v>
      </c>
      <c r="Q109" s="162">
        <f t="shared" si="65"/>
        <v>139.76477959604659</v>
      </c>
      <c r="R109" s="162">
        <f t="shared" si="65"/>
        <v>139.76477959604659</v>
      </c>
      <c r="S109" s="162">
        <f t="shared" si="65"/>
        <v>139.76477959604659</v>
      </c>
      <c r="T109" s="162">
        <f t="shared" si="65"/>
        <v>139.76477959604659</v>
      </c>
    </row>
    <row r="110" spans="2:20">
      <c r="B110" s="58"/>
      <c r="C110" s="62" t="s">
        <v>202</v>
      </c>
      <c r="D110" s="175" t="s">
        <v>152</v>
      </c>
      <c r="E110" s="162">
        <v>70.5</v>
      </c>
      <c r="F110" s="162">
        <v>70.5</v>
      </c>
      <c r="G110" s="162">
        <v>70.5</v>
      </c>
      <c r="H110" s="162">
        <v>70.5</v>
      </c>
      <c r="I110" s="162">
        <v>70.5</v>
      </c>
      <c r="J110" s="266"/>
      <c r="K110" s="162">
        <v>70.5</v>
      </c>
      <c r="L110" s="162">
        <v>70.5</v>
      </c>
      <c r="M110" s="162">
        <v>70.5</v>
      </c>
      <c r="N110" s="162">
        <v>70.5</v>
      </c>
      <c r="O110" s="162">
        <v>70.5</v>
      </c>
      <c r="P110" s="162">
        <v>70.5</v>
      </c>
      <c r="Q110" s="162">
        <v>70.5</v>
      </c>
      <c r="R110" s="162">
        <v>70.5</v>
      </c>
      <c r="S110" s="162">
        <v>70.5</v>
      </c>
      <c r="T110" s="162">
        <v>70.5</v>
      </c>
    </row>
    <row r="111" spans="2:20" ht="16" thickBot="1">
      <c r="B111" s="58"/>
      <c r="C111" s="62" t="s">
        <v>203</v>
      </c>
      <c r="D111" s="176" t="s">
        <v>11</v>
      </c>
      <c r="E111" s="112">
        <v>23</v>
      </c>
      <c r="F111" s="112">
        <v>23</v>
      </c>
      <c r="G111" s="112">
        <v>23</v>
      </c>
      <c r="H111" s="112">
        <v>23</v>
      </c>
      <c r="I111" s="112">
        <v>23</v>
      </c>
      <c r="J111" s="267"/>
      <c r="K111" s="112">
        <v>23</v>
      </c>
      <c r="L111" s="112">
        <v>23</v>
      </c>
      <c r="M111" s="112">
        <v>23</v>
      </c>
      <c r="N111" s="112">
        <v>23</v>
      </c>
      <c r="O111" s="112">
        <v>23</v>
      </c>
      <c r="P111" s="112">
        <v>23</v>
      </c>
      <c r="Q111" s="112">
        <v>23</v>
      </c>
      <c r="R111" s="112">
        <v>23</v>
      </c>
      <c r="S111" s="112">
        <v>23</v>
      </c>
      <c r="T111" s="112">
        <v>23</v>
      </c>
    </row>
    <row r="112" spans="2:20">
      <c r="B112" s="58"/>
      <c r="C112" s="55" t="s">
        <v>120</v>
      </c>
      <c r="D112" s="56" t="s">
        <v>7</v>
      </c>
      <c r="E112" s="125" t="s">
        <v>28</v>
      </c>
      <c r="F112" s="125" t="s">
        <v>28</v>
      </c>
      <c r="G112" s="125" t="s">
        <v>28</v>
      </c>
      <c r="H112" s="125" t="s">
        <v>28</v>
      </c>
      <c r="I112" s="125" t="s">
        <v>28</v>
      </c>
      <c r="J112" s="268"/>
      <c r="K112" s="125" t="s">
        <v>28</v>
      </c>
      <c r="L112" s="125" t="s">
        <v>28</v>
      </c>
      <c r="M112" s="125" t="s">
        <v>28</v>
      </c>
      <c r="N112" s="125" t="s">
        <v>28</v>
      </c>
      <c r="O112" s="125" t="s">
        <v>28</v>
      </c>
      <c r="P112" s="125" t="s">
        <v>28</v>
      </c>
      <c r="Q112" s="125" t="s">
        <v>28</v>
      </c>
      <c r="R112" s="125" t="s">
        <v>28</v>
      </c>
      <c r="S112" s="125" t="s">
        <v>28</v>
      </c>
      <c r="T112" s="125" t="s">
        <v>28</v>
      </c>
    </row>
    <row r="113" spans="2:20">
      <c r="B113" s="58"/>
      <c r="C113" s="62" t="s">
        <v>204</v>
      </c>
      <c r="D113" s="60" t="s">
        <v>11</v>
      </c>
      <c r="E113" s="95">
        <v>67</v>
      </c>
      <c r="F113" s="95">
        <f>F137</f>
        <v>67</v>
      </c>
      <c r="G113" s="95">
        <f>G137</f>
        <v>62.000000000000007</v>
      </c>
      <c r="H113" s="95">
        <f>H137</f>
        <v>77</v>
      </c>
      <c r="I113" s="95">
        <f>I137</f>
        <v>76</v>
      </c>
      <c r="J113" s="221"/>
      <c r="K113" s="95">
        <f t="shared" ref="K113:T113" si="66">K137</f>
        <v>76</v>
      </c>
      <c r="L113" s="95">
        <f t="shared" si="66"/>
        <v>76</v>
      </c>
      <c r="M113" s="95">
        <f t="shared" si="66"/>
        <v>76</v>
      </c>
      <c r="N113" s="95">
        <f t="shared" si="66"/>
        <v>76</v>
      </c>
      <c r="O113" s="95">
        <f t="shared" si="66"/>
        <v>76</v>
      </c>
      <c r="P113" s="95">
        <f t="shared" si="66"/>
        <v>76</v>
      </c>
      <c r="Q113" s="95">
        <f t="shared" si="66"/>
        <v>76</v>
      </c>
      <c r="R113" s="95">
        <f t="shared" si="66"/>
        <v>76</v>
      </c>
      <c r="S113" s="95">
        <f t="shared" si="66"/>
        <v>76</v>
      </c>
      <c r="T113" s="95">
        <f t="shared" si="66"/>
        <v>76</v>
      </c>
    </row>
    <row r="114" spans="2:20">
      <c r="B114" s="58"/>
      <c r="C114" s="62" t="s">
        <v>121</v>
      </c>
      <c r="D114" s="60" t="s">
        <v>13</v>
      </c>
      <c r="E114" s="65">
        <v>10</v>
      </c>
      <c r="F114" s="65">
        <v>10</v>
      </c>
      <c r="G114" s="65">
        <v>10</v>
      </c>
      <c r="H114" s="65">
        <v>10</v>
      </c>
      <c r="I114" s="65">
        <v>10</v>
      </c>
      <c r="J114" s="247"/>
      <c r="K114" s="65">
        <v>10</v>
      </c>
      <c r="L114" s="65">
        <v>10</v>
      </c>
      <c r="M114" s="65">
        <v>10</v>
      </c>
      <c r="N114" s="65">
        <v>10</v>
      </c>
      <c r="O114" s="65">
        <v>10</v>
      </c>
      <c r="P114" s="65">
        <v>10</v>
      </c>
      <c r="Q114" s="65">
        <v>10</v>
      </c>
      <c r="R114" s="65">
        <v>10</v>
      </c>
      <c r="S114" s="65">
        <v>10</v>
      </c>
      <c r="T114" s="65">
        <v>10</v>
      </c>
    </row>
    <row r="115" spans="2:20">
      <c r="B115" s="58"/>
      <c r="C115" s="62" t="s">
        <v>122</v>
      </c>
      <c r="D115" s="60" t="s">
        <v>1</v>
      </c>
      <c r="E115" s="126">
        <v>0.49</v>
      </c>
      <c r="F115" s="126">
        <v>0.49</v>
      </c>
      <c r="G115" s="126">
        <v>0.49</v>
      </c>
      <c r="H115" s="126">
        <v>0.49</v>
      </c>
      <c r="I115" s="126">
        <v>0.49</v>
      </c>
      <c r="J115" s="269"/>
      <c r="K115" s="126">
        <v>0.49</v>
      </c>
      <c r="L115" s="126">
        <v>0.49</v>
      </c>
      <c r="M115" s="126">
        <v>0.49</v>
      </c>
      <c r="N115" s="126">
        <v>0.49</v>
      </c>
      <c r="O115" s="126">
        <v>0.49</v>
      </c>
      <c r="P115" s="126">
        <v>0.49</v>
      </c>
      <c r="Q115" s="126">
        <v>0.49</v>
      </c>
      <c r="R115" s="126">
        <v>0.49</v>
      </c>
      <c r="S115" s="126">
        <v>0.49</v>
      </c>
      <c r="T115" s="126">
        <v>0.49</v>
      </c>
    </row>
    <row r="116" spans="2:20">
      <c r="B116" s="78"/>
      <c r="C116" s="62" t="s">
        <v>123</v>
      </c>
      <c r="D116" s="60" t="s">
        <v>16</v>
      </c>
      <c r="E116" s="127">
        <f>E114/10000*E113*E129/100</f>
        <v>0.64219500000000007</v>
      </c>
      <c r="F116" s="127">
        <f>F114/10000*F113*F129/100</f>
        <v>0.64204942720441505</v>
      </c>
      <c r="G116" s="127">
        <f>G114/10000*G113*G129/100</f>
        <v>0.44646991568114053</v>
      </c>
      <c r="H116" s="127">
        <f>H114/10000*H113*H129/100</f>
        <v>3.3981462029959317</v>
      </c>
      <c r="I116" s="127">
        <f>I114/10000*I113*I129/100</f>
        <v>3.8516093731309669</v>
      </c>
      <c r="J116" s="246"/>
      <c r="K116" s="127">
        <f t="shared" ref="K116:T116" si="67">K114/10000*K113*K129/100</f>
        <v>5.8953568562283927</v>
      </c>
      <c r="L116" s="127">
        <f t="shared" si="67"/>
        <v>4.2700984391718082</v>
      </c>
      <c r="M116" s="127">
        <f t="shared" si="67"/>
        <v>3.8516093731309669</v>
      </c>
      <c r="N116" s="127">
        <f t="shared" si="67"/>
        <v>2.7660714361027745</v>
      </c>
      <c r="O116" s="127">
        <f t="shared" si="67"/>
        <v>2.3567420029299662</v>
      </c>
      <c r="P116" s="127">
        <f t="shared" si="67"/>
        <v>3.1258063130336105</v>
      </c>
      <c r="Q116" s="127">
        <f t="shared" si="67"/>
        <v>3.2087527847343722</v>
      </c>
      <c r="R116" s="127">
        <f t="shared" si="67"/>
        <v>3.2857737223362111</v>
      </c>
      <c r="S116" s="127">
        <f t="shared" si="67"/>
        <v>3.3574821856430566</v>
      </c>
      <c r="T116" s="127">
        <f t="shared" si="67"/>
        <v>3.3915130882593836</v>
      </c>
    </row>
    <row r="117" spans="2:20">
      <c r="B117" s="78"/>
      <c r="C117" s="62" t="s">
        <v>124</v>
      </c>
      <c r="D117" s="60" t="s">
        <v>3</v>
      </c>
      <c r="E117" s="128">
        <v>1</v>
      </c>
      <c r="F117" s="128">
        <v>1</v>
      </c>
      <c r="G117" s="128">
        <v>1</v>
      </c>
      <c r="H117" s="128">
        <v>1</v>
      </c>
      <c r="I117" s="128">
        <v>1</v>
      </c>
      <c r="J117" s="246"/>
      <c r="K117" s="128">
        <v>1</v>
      </c>
      <c r="L117" s="128">
        <v>1</v>
      </c>
      <c r="M117" s="128">
        <v>1</v>
      </c>
      <c r="N117" s="128">
        <v>1</v>
      </c>
      <c r="O117" s="128">
        <v>1</v>
      </c>
      <c r="P117" s="128">
        <v>1</v>
      </c>
      <c r="Q117" s="128">
        <v>1</v>
      </c>
      <c r="R117" s="128">
        <v>1</v>
      </c>
      <c r="S117" s="128">
        <v>1</v>
      </c>
      <c r="T117" s="128">
        <v>1</v>
      </c>
    </row>
    <row r="118" spans="2:20">
      <c r="B118" s="78"/>
      <c r="C118" s="62" t="s">
        <v>125</v>
      </c>
      <c r="D118" s="60" t="s">
        <v>15</v>
      </c>
      <c r="E118" s="127">
        <f>E116*E117*2</f>
        <v>1.2843900000000001</v>
      </c>
      <c r="F118" s="127">
        <f>F116*F117*2</f>
        <v>1.2840988544088301</v>
      </c>
      <c r="G118" s="127">
        <f>G116*G117*2</f>
        <v>0.89293983136228106</v>
      </c>
      <c r="H118" s="127">
        <f>H116*H117*2</f>
        <v>6.7962924059918635</v>
      </c>
      <c r="I118" s="127">
        <f>I116*I117*2</f>
        <v>7.7032187462619337</v>
      </c>
      <c r="J118" s="246"/>
      <c r="K118" s="127">
        <f t="shared" ref="K118:T118" si="68">K116*K117*2</f>
        <v>11.790713712456785</v>
      </c>
      <c r="L118" s="127">
        <f t="shared" si="68"/>
        <v>8.5401968783436164</v>
      </c>
      <c r="M118" s="127">
        <f t="shared" si="68"/>
        <v>7.7032187462619337</v>
      </c>
      <c r="N118" s="127">
        <f t="shared" si="68"/>
        <v>5.532142872205549</v>
      </c>
      <c r="O118" s="127">
        <f t="shared" si="68"/>
        <v>4.7134840058599323</v>
      </c>
      <c r="P118" s="127">
        <f t="shared" si="68"/>
        <v>6.2516126260672209</v>
      </c>
      <c r="Q118" s="127">
        <f t="shared" si="68"/>
        <v>6.4175055694687444</v>
      </c>
      <c r="R118" s="127">
        <f t="shared" si="68"/>
        <v>6.5715474446724222</v>
      </c>
      <c r="S118" s="127">
        <f t="shared" si="68"/>
        <v>6.7149643712861131</v>
      </c>
      <c r="T118" s="127">
        <f t="shared" si="68"/>
        <v>6.7830261765187672</v>
      </c>
    </row>
    <row r="119" spans="2:20" ht="16" thickBot="1">
      <c r="B119" s="78"/>
      <c r="C119" s="116" t="s">
        <v>126</v>
      </c>
      <c r="D119" s="73" t="s">
        <v>16</v>
      </c>
      <c r="E119" s="129">
        <f t="shared" ref="E119:I119" si="69">E116*E115</f>
        <v>0.31467555000000003</v>
      </c>
      <c r="F119" s="129">
        <f t="shared" si="69"/>
        <v>0.31460421933016336</v>
      </c>
      <c r="G119" s="129">
        <f t="shared" si="69"/>
        <v>0.21877025868375885</v>
      </c>
      <c r="H119" s="129">
        <f t="shared" si="69"/>
        <v>1.6650916394680064</v>
      </c>
      <c r="I119" s="129">
        <f t="shared" si="69"/>
        <v>1.8872885928341738</v>
      </c>
      <c r="J119" s="270"/>
      <c r="K119" s="129">
        <f t="shared" ref="K119:T119" si="70">K116*K115</f>
        <v>2.8887248595519122</v>
      </c>
      <c r="L119" s="129">
        <f t="shared" si="70"/>
        <v>2.0923482351941858</v>
      </c>
      <c r="M119" s="129">
        <f t="shared" si="70"/>
        <v>1.8872885928341738</v>
      </c>
      <c r="N119" s="129">
        <f t="shared" si="70"/>
        <v>1.3553750036903596</v>
      </c>
      <c r="O119" s="129">
        <f t="shared" si="70"/>
        <v>1.1548035814356834</v>
      </c>
      <c r="P119" s="129">
        <f t="shared" si="70"/>
        <v>1.5316450933864691</v>
      </c>
      <c r="Q119" s="129">
        <f t="shared" si="70"/>
        <v>1.5722888645198423</v>
      </c>
      <c r="R119" s="129">
        <f t="shared" si="70"/>
        <v>1.6100291239447435</v>
      </c>
      <c r="S119" s="129">
        <f t="shared" si="70"/>
        <v>1.6451662709650976</v>
      </c>
      <c r="T119" s="129">
        <f t="shared" si="70"/>
        <v>1.661841413247098</v>
      </c>
    </row>
    <row r="120" spans="2:20" ht="28.5">
      <c r="B120" s="78"/>
      <c r="C120" s="213" t="s">
        <v>261</v>
      </c>
      <c r="D120" s="201" t="s">
        <v>158</v>
      </c>
      <c r="E120" s="201">
        <v>2.0289999999999999</v>
      </c>
      <c r="F120" s="201">
        <v>2</v>
      </c>
      <c r="G120" s="201">
        <v>2</v>
      </c>
      <c r="H120" s="201">
        <v>2</v>
      </c>
      <c r="I120" s="201">
        <v>2</v>
      </c>
      <c r="J120" s="271"/>
      <c r="K120" s="201">
        <v>2</v>
      </c>
      <c r="L120" s="201">
        <v>2</v>
      </c>
      <c r="M120" s="201">
        <v>2</v>
      </c>
      <c r="N120" s="201">
        <v>2</v>
      </c>
      <c r="O120" s="201">
        <v>2</v>
      </c>
      <c r="P120" s="201">
        <v>2</v>
      </c>
      <c r="Q120" s="201">
        <v>2</v>
      </c>
      <c r="R120" s="201">
        <v>2</v>
      </c>
      <c r="S120" s="201">
        <v>2</v>
      </c>
      <c r="T120" s="201">
        <v>2</v>
      </c>
    </row>
    <row r="121" spans="2:20">
      <c r="B121" s="78"/>
      <c r="C121" s="50" t="s">
        <v>205</v>
      </c>
      <c r="D121" s="201" t="s">
        <v>206</v>
      </c>
      <c r="E121" s="210">
        <f>E120/2/(E130/1000)</f>
        <v>3.0088616515204514</v>
      </c>
      <c r="F121" s="202">
        <f>F120/2/(F130/1000)</f>
        <v>2.9659862783712767</v>
      </c>
      <c r="G121" s="202">
        <f>G120/2/(G130/1000)</f>
        <v>2.9659862783712767</v>
      </c>
      <c r="H121" s="202">
        <f>H120/2/(H130/1000)</f>
        <v>2.9659862783712767</v>
      </c>
      <c r="I121" s="202">
        <f>I120/2/(I130/1000)</f>
        <v>3.4155546107995414</v>
      </c>
      <c r="J121" s="272"/>
      <c r="K121" s="202">
        <f t="shared" ref="K121:T121" si="71">K120/2/(K130/1000)</f>
        <v>5.2620314095146172</v>
      </c>
      <c r="L121" s="202">
        <f t="shared" si="71"/>
        <v>3.7936508036333865</v>
      </c>
      <c r="M121" s="202">
        <f t="shared" si="71"/>
        <v>3.4155546107995414</v>
      </c>
      <c r="N121" s="202">
        <f t="shared" si="71"/>
        <v>2.4347865115705094</v>
      </c>
      <c r="O121" s="202">
        <f t="shared" si="71"/>
        <v>2.0649583095675244</v>
      </c>
      <c r="P121" s="202">
        <f t="shared" si="71"/>
        <v>2.7598034177009936</v>
      </c>
      <c r="Q121" s="202">
        <f t="shared" si="71"/>
        <v>2.8347444713138006</v>
      </c>
      <c r="R121" s="202">
        <f t="shared" si="71"/>
        <v>2.9043318080552667</v>
      </c>
      <c r="S121" s="202">
        <f t="shared" si="71"/>
        <v>2.9691193390700379</v>
      </c>
      <c r="T121" s="202">
        <f t="shared" si="71"/>
        <v>2.9998657348461735</v>
      </c>
    </row>
    <row r="122" spans="2:20">
      <c r="B122" s="78"/>
      <c r="C122" s="50" t="s">
        <v>207</v>
      </c>
      <c r="D122" s="201" t="s">
        <v>161</v>
      </c>
      <c r="E122" s="203">
        <f>E188-E123</f>
        <v>1.0199999999999996</v>
      </c>
      <c r="F122" s="204">
        <v>1</v>
      </c>
      <c r="G122" s="204">
        <v>1</v>
      </c>
      <c r="H122" s="204">
        <v>1</v>
      </c>
      <c r="I122" s="204">
        <v>1</v>
      </c>
      <c r="J122" s="273"/>
      <c r="K122" s="204">
        <v>1</v>
      </c>
      <c r="L122" s="204">
        <v>1</v>
      </c>
      <c r="M122" s="204">
        <v>1</v>
      </c>
      <c r="N122" s="204">
        <v>1</v>
      </c>
      <c r="O122" s="204">
        <v>1</v>
      </c>
      <c r="P122" s="204">
        <v>1</v>
      </c>
      <c r="Q122" s="204">
        <v>1</v>
      </c>
      <c r="R122" s="204">
        <v>1</v>
      </c>
      <c r="S122" s="204">
        <v>1</v>
      </c>
      <c r="T122" s="204">
        <v>1</v>
      </c>
    </row>
    <row r="123" spans="2:20">
      <c r="B123" s="78"/>
      <c r="C123" s="50" t="s">
        <v>208</v>
      </c>
      <c r="D123" s="201" t="s">
        <v>161</v>
      </c>
      <c r="E123" s="202">
        <f>E188*0.95</f>
        <v>19.38</v>
      </c>
      <c r="F123" s="202">
        <f>F188-F122</f>
        <v>19.399999999999999</v>
      </c>
      <c r="G123" s="202">
        <f>G188-G122</f>
        <v>16.399999999999999</v>
      </c>
      <c r="H123" s="202">
        <f>H188-H122</f>
        <v>44.4</v>
      </c>
      <c r="I123" s="202">
        <f>I188-I122</f>
        <v>44.4</v>
      </c>
      <c r="J123" s="272"/>
      <c r="K123" s="202">
        <f t="shared" ref="K123:T123" si="72">K188-K122</f>
        <v>44.4</v>
      </c>
      <c r="L123" s="202">
        <f t="shared" si="72"/>
        <v>44.4</v>
      </c>
      <c r="M123" s="202">
        <f t="shared" si="72"/>
        <v>44.4</v>
      </c>
      <c r="N123" s="202">
        <f t="shared" si="72"/>
        <v>44.4</v>
      </c>
      <c r="O123" s="202">
        <f t="shared" si="72"/>
        <v>44.4</v>
      </c>
      <c r="P123" s="202">
        <f t="shared" si="72"/>
        <v>44.4</v>
      </c>
      <c r="Q123" s="202">
        <f t="shared" si="72"/>
        <v>44.4</v>
      </c>
      <c r="R123" s="202">
        <f t="shared" si="72"/>
        <v>44.4</v>
      </c>
      <c r="S123" s="202">
        <f t="shared" si="72"/>
        <v>44.4</v>
      </c>
      <c r="T123" s="202">
        <f t="shared" si="72"/>
        <v>44.4</v>
      </c>
    </row>
    <row r="124" spans="2:20">
      <c r="B124" s="78"/>
      <c r="C124" s="50" t="s">
        <v>209</v>
      </c>
      <c r="D124" s="201" t="s">
        <v>210</v>
      </c>
      <c r="E124" s="210">
        <f>E188*0.95/2/(E130/1000)</f>
        <v>28.739151703531959</v>
      </c>
      <c r="F124" s="202">
        <f>F188*0.95/2/(F130/1000)</f>
        <v>28.740407037417668</v>
      </c>
      <c r="G124" s="202">
        <f>G188*0.95/2/(G130/1000)</f>
        <v>24.513876590738597</v>
      </c>
      <c r="H124" s="202">
        <f>H188*0.95/2/(H130/1000)</f>
        <v>63.961494093076574</v>
      </c>
      <c r="I124" s="202">
        <f>I188*0.95/2/(I130/1000)</f>
        <v>73.656435181892093</v>
      </c>
      <c r="J124" s="272"/>
      <c r="K124" s="202">
        <f t="shared" ref="K124:T124" si="73">K188*0.95/2/(K130/1000)</f>
        <v>113.47570734618272</v>
      </c>
      <c r="L124" s="202">
        <f t="shared" si="73"/>
        <v>81.810079580353971</v>
      </c>
      <c r="M124" s="202">
        <f t="shared" si="73"/>
        <v>73.656435181892093</v>
      </c>
      <c r="N124" s="202">
        <f t="shared" si="73"/>
        <v>52.506171122018031</v>
      </c>
      <c r="O124" s="202">
        <f t="shared" si="73"/>
        <v>44.530825945823658</v>
      </c>
      <c r="P124" s="202">
        <f t="shared" si="73"/>
        <v>59.515160702721914</v>
      </c>
      <c r="Q124" s="202">
        <f t="shared" si="73"/>
        <v>61.131264523882102</v>
      </c>
      <c r="R124" s="202">
        <f t="shared" si="73"/>
        <v>62.631915440711815</v>
      </c>
      <c r="S124" s="202">
        <f t="shared" si="73"/>
        <v>64.029058547045352</v>
      </c>
      <c r="T124" s="202">
        <f t="shared" si="73"/>
        <v>64.692104571957728</v>
      </c>
    </row>
    <row r="125" spans="2:20">
      <c r="B125" s="24"/>
      <c r="C125" s="50" t="s">
        <v>211</v>
      </c>
      <c r="D125" s="201" t="s">
        <v>206</v>
      </c>
      <c r="E125" s="202">
        <f>E124-E121</f>
        <v>25.730290052011508</v>
      </c>
      <c r="F125" s="202">
        <f>F124-F121</f>
        <v>25.774420759046393</v>
      </c>
      <c r="G125" s="202">
        <f>G124-G121</f>
        <v>21.547890312367322</v>
      </c>
      <c r="H125" s="202">
        <f>H124-H121</f>
        <v>60.995507814705299</v>
      </c>
      <c r="I125" s="202">
        <f>I124-I121</f>
        <v>70.240880571092546</v>
      </c>
      <c r="J125" s="272"/>
      <c r="K125" s="202">
        <f t="shared" ref="K125:T125" si="74">K124-K121</f>
        <v>108.2136759366681</v>
      </c>
      <c r="L125" s="202">
        <f t="shared" si="74"/>
        <v>78.016428776720588</v>
      </c>
      <c r="M125" s="202">
        <f t="shared" si="74"/>
        <v>70.240880571092546</v>
      </c>
      <c r="N125" s="202">
        <f t="shared" si="74"/>
        <v>50.071384610447524</v>
      </c>
      <c r="O125" s="202">
        <f t="shared" si="74"/>
        <v>42.465867636256135</v>
      </c>
      <c r="P125" s="202">
        <f t="shared" si="74"/>
        <v>56.755357285020921</v>
      </c>
      <c r="Q125" s="202">
        <f t="shared" si="74"/>
        <v>58.296520052568304</v>
      </c>
      <c r="R125" s="202">
        <f t="shared" si="74"/>
        <v>59.727583632656547</v>
      </c>
      <c r="S125" s="202">
        <f t="shared" si="74"/>
        <v>61.059939207975312</v>
      </c>
      <c r="T125" s="202">
        <f t="shared" si="74"/>
        <v>61.692238837111553</v>
      </c>
    </row>
    <row r="126" spans="2:20">
      <c r="B126" s="24"/>
      <c r="C126" s="50" t="s">
        <v>212</v>
      </c>
      <c r="D126" s="201" t="s">
        <v>161</v>
      </c>
      <c r="E126" s="202">
        <f>E131/1000/2*(E121*2*3.14*SQRT(1+(E121*2*3.14)^2)+LN(E121*2*3.14+SQRT(1+(E121*2*3.14)^2)))</f>
        <v>9.6908461391397296</v>
      </c>
      <c r="F126" s="202">
        <f>F131/1000/2*(F121*2*3.14*SQRT(1+(F121*2*3.14)^2)+LN(F121*2*3.14+SQRT(1+(F121*2*3.14)^2)))</f>
        <v>9.4189718279972556</v>
      </c>
      <c r="G126" s="202">
        <f>G131/1000/2*(G121*2*3.14*SQRT(1+(G121*2*3.14)^2)+LN(G121*2*3.14+SQRT(1+(G121*2*3.14)^2)))</f>
        <v>9.4189718279972556</v>
      </c>
      <c r="H126" s="202">
        <f>H131/1000/2*(H121*2*3.14*SQRT(1+(H121*2*3.14)^2)+LN(H121*2*3.14+SQRT(1+(H121*2*3.14)^2)))</f>
        <v>9.4189718279972556</v>
      </c>
      <c r="I126" s="202">
        <f>I131/1000/2*(I121*2*3.14*SQRT(1+(I121*2*3.14)^2)+LN(I121*2*3.14+SQRT(1+(I121*2*3.14)^2)))</f>
        <v>10.818645100820813</v>
      </c>
      <c r="J126" s="272"/>
      <c r="K126" s="202">
        <f t="shared" ref="K126:T126" si="75">K131/1000/2*(K121*2*3.14*SQRT(1+(K121*2*3.14)^2)+LN(K121*2*3.14+SQRT(1+(K121*2*3.14)^2)))</f>
        <v>16.585360328368623</v>
      </c>
      <c r="L126" s="202">
        <f t="shared" si="75"/>
        <v>11.99757753055645</v>
      </c>
      <c r="M126" s="202">
        <f t="shared" si="75"/>
        <v>10.818645100820813</v>
      </c>
      <c r="N126" s="202">
        <f t="shared" si="75"/>
        <v>7.7695096795649281</v>
      </c>
      <c r="O126" s="202">
        <f t="shared" si="75"/>
        <v>6.6254471150048548</v>
      </c>
      <c r="P126" s="202">
        <f t="shared" si="75"/>
        <v>8.7780638974923821</v>
      </c>
      <c r="Q126" s="202">
        <f t="shared" si="75"/>
        <v>9.0109269401018555</v>
      </c>
      <c r="R126" s="202">
        <f t="shared" si="75"/>
        <v>9.2272451304771899</v>
      </c>
      <c r="S126" s="202">
        <f t="shared" si="75"/>
        <v>9.4287163466226804</v>
      </c>
      <c r="T126" s="202">
        <f t="shared" si="75"/>
        <v>9.5243527390301814</v>
      </c>
    </row>
    <row r="127" spans="2:20">
      <c r="B127" s="24"/>
      <c r="C127" s="50" t="s">
        <v>213</v>
      </c>
      <c r="D127" s="201" t="s">
        <v>161</v>
      </c>
      <c r="E127" s="202">
        <f>E131/1000/2*(E124*2*3.14*SQRT(1+(E124*2*3.14)^2)+LN(E124*2*3.14+SQRT(1+(E124*2*3.14)^2)))</f>
        <v>874.16352910340674</v>
      </c>
      <c r="F127" s="202">
        <f>F131/1000/2*(F124*2*3.14*SQRT(1+(F124*2*3.14)^2)+LN(F124*2*3.14+SQRT(1+(F124*2*3.14)^2)))</f>
        <v>874.20169899876589</v>
      </c>
      <c r="G127" s="202">
        <f>G131/1000/2*(G124*2*3.14*SQRT(1+(G124*2*3.14)^2)+LN(G124*2*3.14+SQRT(1+(G124*2*3.14)^2)))</f>
        <v>636.03173905564313</v>
      </c>
      <c r="H127" s="202">
        <f>H131/1000/2*(H124*2*3.14*SQRT(1+(H124*2*3.14)^2)+LN(H124*2*3.14+SQRT(1+(H124*2*3.14)^2)))</f>
        <v>4329.0958588357016</v>
      </c>
      <c r="I127" s="202">
        <f>I131/1000/2*(I124*2*3.14*SQRT(1+(I124*2*3.14)^2)+LN(I124*2*3.14+SQRT(1+(I124*2*3.14)^2)))</f>
        <v>4985.2257150099877</v>
      </c>
      <c r="J127" s="272"/>
      <c r="K127" s="202">
        <f t="shared" ref="K127:T127" si="76">K131/1000/2*(K124*2*3.14*SQRT(1+(K124*2*3.14)^2)+LN(K124*2*3.14+SQRT(1+(K124*2*3.14)^2)))</f>
        <v>7680.1338553657288</v>
      </c>
      <c r="L127" s="202">
        <f t="shared" si="76"/>
        <v>5537.0481553881991</v>
      </c>
      <c r="M127" s="202">
        <f t="shared" si="76"/>
        <v>4985.2257150099877</v>
      </c>
      <c r="N127" s="202">
        <f t="shared" si="76"/>
        <v>3553.8371887621629</v>
      </c>
      <c r="O127" s="202">
        <f t="shared" si="76"/>
        <v>3014.1017667596975</v>
      </c>
      <c r="P127" s="202">
        <f t="shared" si="76"/>
        <v>4028.1811073627691</v>
      </c>
      <c r="Q127" s="202">
        <f t="shared" si="76"/>
        <v>4137.5540647484868</v>
      </c>
      <c r="R127" s="202">
        <f t="shared" si="76"/>
        <v>4239.1137218886497</v>
      </c>
      <c r="S127" s="202">
        <f t="shared" si="76"/>
        <v>4333.6684342980125</v>
      </c>
      <c r="T127" s="202">
        <f t="shared" si="76"/>
        <v>4378.5415741329562</v>
      </c>
    </row>
    <row r="128" spans="2:20">
      <c r="B128" s="24"/>
      <c r="C128" s="50" t="s">
        <v>214</v>
      </c>
      <c r="D128" s="201" t="s">
        <v>161</v>
      </c>
      <c r="E128" s="202">
        <f>E127-E126</f>
        <v>864.47268296426705</v>
      </c>
      <c r="F128" s="202">
        <f>F127-F126</f>
        <v>864.78272717076868</v>
      </c>
      <c r="G128" s="202">
        <f>G127-G126</f>
        <v>626.61276722764592</v>
      </c>
      <c r="H128" s="202">
        <f>H127-H126</f>
        <v>4319.676887007704</v>
      </c>
      <c r="I128" s="202">
        <f>I127-I126</f>
        <v>4974.4070699091671</v>
      </c>
      <c r="J128" s="272"/>
      <c r="K128" s="202">
        <f t="shared" ref="K128:T128" si="77">K127-K126</f>
        <v>7663.5484950373602</v>
      </c>
      <c r="L128" s="202">
        <f t="shared" si="77"/>
        <v>5525.0505778576426</v>
      </c>
      <c r="M128" s="202">
        <f t="shared" si="77"/>
        <v>4974.4070699091671</v>
      </c>
      <c r="N128" s="202">
        <f t="shared" si="77"/>
        <v>3546.0676790825978</v>
      </c>
      <c r="O128" s="202">
        <f t="shared" si="77"/>
        <v>3007.4763196446925</v>
      </c>
      <c r="P128" s="202">
        <f t="shared" si="77"/>
        <v>4019.4030434652768</v>
      </c>
      <c r="Q128" s="202">
        <f t="shared" si="77"/>
        <v>4128.5431378083849</v>
      </c>
      <c r="R128" s="202">
        <f t="shared" si="77"/>
        <v>4229.8864767581726</v>
      </c>
      <c r="S128" s="202">
        <f t="shared" si="77"/>
        <v>4324.23971795139</v>
      </c>
      <c r="T128" s="202">
        <f t="shared" si="77"/>
        <v>4369.0172213939259</v>
      </c>
    </row>
    <row r="129" spans="2:21">
      <c r="B129" s="24"/>
      <c r="C129" s="10" t="s">
        <v>215</v>
      </c>
      <c r="D129" s="205" t="s">
        <v>159</v>
      </c>
      <c r="E129" s="206">
        <f>E41+E110+E111</f>
        <v>958.5</v>
      </c>
      <c r="F129" s="206">
        <f>F41+F110+F111</f>
        <v>958.28272717076868</v>
      </c>
      <c r="G129" s="206">
        <f>G41+G110+G111</f>
        <v>720.11276722764592</v>
      </c>
      <c r="H129" s="206">
        <f>H41+H110+H111</f>
        <v>4413.176887007704</v>
      </c>
      <c r="I129" s="206">
        <f>I41+I110+I111</f>
        <v>5067.9070699091671</v>
      </c>
      <c r="J129" s="274"/>
      <c r="K129" s="206">
        <f t="shared" ref="K129:T129" si="78">K41+K110+K111</f>
        <v>7757.0484950373602</v>
      </c>
      <c r="L129" s="206">
        <f t="shared" si="78"/>
        <v>5618.5505778576426</v>
      </c>
      <c r="M129" s="206">
        <f t="shared" si="78"/>
        <v>5067.9070699091671</v>
      </c>
      <c r="N129" s="206">
        <f t="shared" si="78"/>
        <v>3639.5676790825978</v>
      </c>
      <c r="O129" s="206">
        <f t="shared" si="78"/>
        <v>3100.9763196446925</v>
      </c>
      <c r="P129" s="206">
        <f t="shared" si="78"/>
        <v>4112.9030434652768</v>
      </c>
      <c r="Q129" s="206">
        <f t="shared" si="78"/>
        <v>4222.0431378083849</v>
      </c>
      <c r="R129" s="206">
        <f t="shared" si="78"/>
        <v>4323.3864767581726</v>
      </c>
      <c r="S129" s="206">
        <f t="shared" si="78"/>
        <v>4417.73971795139</v>
      </c>
      <c r="T129" s="206">
        <f t="shared" si="78"/>
        <v>4462.5172213939259</v>
      </c>
    </row>
    <row r="130" spans="2:21" ht="46">
      <c r="B130" s="24"/>
      <c r="C130" s="111" t="s">
        <v>216</v>
      </c>
      <c r="D130" s="201" t="s">
        <v>160</v>
      </c>
      <c r="E130" s="203">
        <f>E54+E88+E114*2</f>
        <v>337.17070357400723</v>
      </c>
      <c r="F130" s="203">
        <f>F54+F88+F114*2</f>
        <v>337.15597651015901</v>
      </c>
      <c r="G130" s="203">
        <f>G54+G88+G114*2</f>
        <v>337.15597651015901</v>
      </c>
      <c r="H130" s="203">
        <f>H54+H88+H114*2</f>
        <v>337.15597651015901</v>
      </c>
      <c r="I130" s="203">
        <f>I54+I88+I114*2</f>
        <v>292.77822021587053</v>
      </c>
      <c r="J130" s="273"/>
      <c r="K130" s="203">
        <f t="shared" ref="K130:T130" si="79">K54+K88+K114*2</f>
        <v>190.04067482224369</v>
      </c>
      <c r="L130" s="203">
        <f t="shared" si="79"/>
        <v>263.59832566620139</v>
      </c>
      <c r="M130" s="203">
        <f t="shared" si="79"/>
        <v>292.77822021587053</v>
      </c>
      <c r="N130" s="203">
        <f t="shared" si="79"/>
        <v>410.71362735411668</v>
      </c>
      <c r="O130" s="203">
        <f t="shared" si="79"/>
        <v>484.27127819807436</v>
      </c>
      <c r="P130" s="203">
        <f t="shared" si="79"/>
        <v>362.34464874785635</v>
      </c>
      <c r="Q130" s="203">
        <f t="shared" si="79"/>
        <v>352.7654820811897</v>
      </c>
      <c r="R130" s="203">
        <f t="shared" si="79"/>
        <v>344.31327619883677</v>
      </c>
      <c r="S130" s="203">
        <f t="shared" si="79"/>
        <v>336.80020430341187</v>
      </c>
      <c r="T130" s="203">
        <f t="shared" si="79"/>
        <v>333.34825235145991</v>
      </c>
    </row>
    <row r="131" spans="2:21" ht="17.5" thickBot="1">
      <c r="B131" s="24"/>
      <c r="C131" s="111" t="s">
        <v>217</v>
      </c>
      <c r="D131" s="187" t="s">
        <v>162</v>
      </c>
      <c r="E131" s="207">
        <f>E130/2/3.14159</f>
        <v>53.662429466290519</v>
      </c>
      <c r="F131" s="207">
        <f>F130/2/3.14159</f>
        <v>53.660085579302041</v>
      </c>
      <c r="G131" s="207">
        <f>G130/2/3.14159</f>
        <v>53.660085579302041</v>
      </c>
      <c r="H131" s="207">
        <f>H130/2/3.14159</f>
        <v>53.660085579302041</v>
      </c>
      <c r="I131" s="207">
        <f>I130/2/3.14159</f>
        <v>46.597140335923932</v>
      </c>
      <c r="J131" s="275"/>
      <c r="K131" s="207">
        <f t="shared" ref="K131:T131" si="80">K130/2/3.14159</f>
        <v>30.245938334130759</v>
      </c>
      <c r="L131" s="207">
        <f t="shared" si="80"/>
        <v>41.953011956716409</v>
      </c>
      <c r="M131" s="207">
        <f t="shared" si="80"/>
        <v>46.597140335923932</v>
      </c>
      <c r="N131" s="207">
        <f t="shared" si="80"/>
        <v>65.367159201887688</v>
      </c>
      <c r="O131" s="207">
        <f t="shared" si="80"/>
        <v>77.074232824473341</v>
      </c>
      <c r="P131" s="207">
        <f t="shared" si="80"/>
        <v>57.668990662030431</v>
      </c>
      <c r="Q131" s="207">
        <f t="shared" si="80"/>
        <v>56.144417648577587</v>
      </c>
      <c r="R131" s="207">
        <f t="shared" si="80"/>
        <v>54.799206166119191</v>
      </c>
      <c r="S131" s="207">
        <f t="shared" si="80"/>
        <v>53.603462626156166</v>
      </c>
      <c r="T131" s="207">
        <f t="shared" si="80"/>
        <v>53.054066945632613</v>
      </c>
    </row>
    <row r="132" spans="2:21">
      <c r="B132" s="24"/>
      <c r="C132" s="208" t="s">
        <v>218</v>
      </c>
      <c r="D132" s="209" t="s">
        <v>219</v>
      </c>
      <c r="E132" s="113">
        <f>E125</f>
        <v>25.730290052011508</v>
      </c>
      <c r="F132" s="113">
        <f>F125</f>
        <v>25.774420759046393</v>
      </c>
      <c r="G132" s="113">
        <f>G125</f>
        <v>21.547890312367322</v>
      </c>
      <c r="H132" s="113">
        <f>H125</f>
        <v>60.995507814705299</v>
      </c>
      <c r="I132" s="113">
        <f>I125</f>
        <v>70.240880571092546</v>
      </c>
      <c r="J132" s="276"/>
      <c r="K132" s="113">
        <f t="shared" ref="K132:T132" si="81">K125</f>
        <v>108.2136759366681</v>
      </c>
      <c r="L132" s="113">
        <f t="shared" si="81"/>
        <v>78.016428776720588</v>
      </c>
      <c r="M132" s="113">
        <f t="shared" si="81"/>
        <v>70.240880571092546</v>
      </c>
      <c r="N132" s="113">
        <f t="shared" si="81"/>
        <v>50.071384610447524</v>
      </c>
      <c r="O132" s="113">
        <f t="shared" si="81"/>
        <v>42.465867636256135</v>
      </c>
      <c r="P132" s="113">
        <f t="shared" si="81"/>
        <v>56.755357285020921</v>
      </c>
      <c r="Q132" s="113">
        <f t="shared" si="81"/>
        <v>58.296520052568304</v>
      </c>
      <c r="R132" s="113">
        <f t="shared" si="81"/>
        <v>59.727583632656547</v>
      </c>
      <c r="S132" s="113">
        <f t="shared" si="81"/>
        <v>61.059939207975312</v>
      </c>
      <c r="T132" s="113">
        <f t="shared" si="81"/>
        <v>61.692238837111553</v>
      </c>
    </row>
    <row r="133" spans="2:21">
      <c r="B133" s="24"/>
      <c r="C133" s="10" t="s">
        <v>220</v>
      </c>
      <c r="D133" s="80" t="s">
        <v>206</v>
      </c>
      <c r="E133" s="114">
        <f t="shared" ref="E133:I133" si="82">E132+7</f>
        <v>32.730290052011512</v>
      </c>
      <c r="F133" s="114">
        <f t="shared" si="82"/>
        <v>32.774420759046393</v>
      </c>
      <c r="G133" s="114">
        <f t="shared" si="82"/>
        <v>28.547890312367322</v>
      </c>
      <c r="H133" s="114">
        <f t="shared" si="82"/>
        <v>67.995507814705292</v>
      </c>
      <c r="I133" s="114">
        <f t="shared" si="82"/>
        <v>77.240880571092546</v>
      </c>
      <c r="J133" s="277"/>
      <c r="K133" s="114">
        <f t="shared" ref="K133:T133" si="83">K132+7</f>
        <v>115.2136759366681</v>
      </c>
      <c r="L133" s="114">
        <f t="shared" si="83"/>
        <v>85.016428776720588</v>
      </c>
      <c r="M133" s="114">
        <f t="shared" si="83"/>
        <v>77.240880571092546</v>
      </c>
      <c r="N133" s="114">
        <f t="shared" si="83"/>
        <v>57.071384610447524</v>
      </c>
      <c r="O133" s="114">
        <f t="shared" si="83"/>
        <v>49.465867636256135</v>
      </c>
      <c r="P133" s="114">
        <f t="shared" si="83"/>
        <v>63.755357285020921</v>
      </c>
      <c r="Q133" s="114">
        <f t="shared" si="83"/>
        <v>65.296520052568297</v>
      </c>
      <c r="R133" s="114">
        <f t="shared" si="83"/>
        <v>66.727583632656547</v>
      </c>
      <c r="S133" s="114">
        <f t="shared" si="83"/>
        <v>68.059939207975304</v>
      </c>
      <c r="T133" s="114">
        <f t="shared" si="83"/>
        <v>68.692238837111546</v>
      </c>
    </row>
    <row r="134" spans="2:21">
      <c r="B134" s="24"/>
      <c r="C134" s="10" t="s">
        <v>221</v>
      </c>
      <c r="D134" s="214" t="s">
        <v>262</v>
      </c>
      <c r="E134" s="115">
        <f t="shared" ref="E134:I134" si="84">E125+19</f>
        <v>44.730290052011512</v>
      </c>
      <c r="F134" s="115">
        <f t="shared" si="84"/>
        <v>44.774420759046393</v>
      </c>
      <c r="G134" s="115">
        <f t="shared" si="84"/>
        <v>40.547890312367322</v>
      </c>
      <c r="H134" s="115">
        <f t="shared" si="84"/>
        <v>79.995507814705292</v>
      </c>
      <c r="I134" s="115">
        <f t="shared" si="84"/>
        <v>89.240880571092546</v>
      </c>
      <c r="J134" s="277"/>
      <c r="K134" s="115">
        <f t="shared" ref="K134:T134" si="85">K125+19</f>
        <v>127.2136759366681</v>
      </c>
      <c r="L134" s="115">
        <f t="shared" si="85"/>
        <v>97.016428776720588</v>
      </c>
      <c r="M134" s="115">
        <f t="shared" si="85"/>
        <v>89.240880571092546</v>
      </c>
      <c r="N134" s="115">
        <f t="shared" si="85"/>
        <v>69.071384610447524</v>
      </c>
      <c r="O134" s="115">
        <f t="shared" si="85"/>
        <v>61.465867636256135</v>
      </c>
      <c r="P134" s="115">
        <f t="shared" si="85"/>
        <v>75.755357285020921</v>
      </c>
      <c r="Q134" s="115">
        <f t="shared" si="85"/>
        <v>77.296520052568297</v>
      </c>
      <c r="R134" s="115">
        <f t="shared" si="85"/>
        <v>78.727583632656547</v>
      </c>
      <c r="S134" s="115">
        <f t="shared" si="85"/>
        <v>80.059939207975304</v>
      </c>
      <c r="T134" s="115">
        <f t="shared" si="85"/>
        <v>80.692238837111546</v>
      </c>
    </row>
    <row r="135" spans="2:21" ht="16" thickBot="1">
      <c r="B135" s="58"/>
      <c r="C135" s="116" t="s">
        <v>109</v>
      </c>
      <c r="D135" s="73" t="s">
        <v>110</v>
      </c>
      <c r="E135" s="117">
        <f>E45/(E76+E77)</f>
        <v>0.92972555083107844</v>
      </c>
      <c r="F135" s="117">
        <f>F45/(F76+F77)</f>
        <v>0.9295785021762506</v>
      </c>
      <c r="G135" s="117">
        <f>G45/(G76+G77)</f>
        <v>0.91937678533867062</v>
      </c>
      <c r="H135" s="117">
        <f>H45/(H76+H77)</f>
        <v>0.95273775177967357</v>
      </c>
      <c r="I135" s="117">
        <f>I45/(I76+I77)</f>
        <v>0.95949737812091107</v>
      </c>
      <c r="J135" s="278"/>
      <c r="K135" s="117">
        <f t="shared" ref="K135:T135" si="86">K45/(K76+K77)</f>
        <v>0.96418892898419006</v>
      </c>
      <c r="L135" s="117">
        <f t="shared" si="86"/>
        <v>0.96082584862442633</v>
      </c>
      <c r="M135" s="117">
        <f t="shared" si="86"/>
        <v>0.95949737812091107</v>
      </c>
      <c r="N135" s="117">
        <f t="shared" si="86"/>
        <v>0.95416054802065953</v>
      </c>
      <c r="O135" s="117">
        <f t="shared" si="86"/>
        <v>0.95085800585515212</v>
      </c>
      <c r="P135" s="117">
        <f t="shared" si="86"/>
        <v>0.95634569721296825</v>
      </c>
      <c r="Q135" s="117">
        <f t="shared" si="86"/>
        <v>0.95677793125717947</v>
      </c>
      <c r="R135" s="117">
        <f t="shared" si="86"/>
        <v>0.95715964005429033</v>
      </c>
      <c r="S135" s="117">
        <f t="shared" si="86"/>
        <v>0.95749919348006229</v>
      </c>
      <c r="T135" s="117">
        <f t="shared" si="86"/>
        <v>0.95765528559189217</v>
      </c>
    </row>
    <row r="136" spans="2:21">
      <c r="B136" s="58"/>
      <c r="C136" s="15" t="s">
        <v>222</v>
      </c>
      <c r="D136" s="90" t="s">
        <v>11</v>
      </c>
      <c r="E136" s="217">
        <f>E123+2*E114/1000+((E88-E91)/2+E91)/1000</f>
        <v>19.491083668005352</v>
      </c>
      <c r="F136" s="217">
        <f t="shared" ref="F136:U136" si="87">F123+2*F114/1000+((F88-F91)/2+F91)/1000</f>
        <v>19.511076304473431</v>
      </c>
      <c r="G136" s="217">
        <f t="shared" si="87"/>
        <v>16.511076304473431</v>
      </c>
      <c r="H136" s="217">
        <f t="shared" si="87"/>
        <v>44.511076304473434</v>
      </c>
      <c r="I136" s="217">
        <f t="shared" si="87"/>
        <v>44.49854620069955</v>
      </c>
      <c r="J136" s="279"/>
      <c r="K136" s="217">
        <f t="shared" ref="K136:T136" si="88">K123+2*K114/1000+((K88-K91)/2+K91)/1000</f>
        <v>44.469538152236716</v>
      </c>
      <c r="L136" s="217">
        <f t="shared" si="88"/>
        <v>44.490307228355071</v>
      </c>
      <c r="M136" s="217">
        <f t="shared" si="88"/>
        <v>44.49854620069955</v>
      </c>
      <c r="N136" s="217">
        <f t="shared" si="88"/>
        <v>44.53184538059179</v>
      </c>
      <c r="O136" s="217">
        <f t="shared" si="88"/>
        <v>44.552614456710145</v>
      </c>
      <c r="P136" s="217">
        <f t="shared" si="88"/>
        <v>44.511076304473434</v>
      </c>
      <c r="Q136" s="217">
        <f t="shared" si="88"/>
        <v>44.511076304473434</v>
      </c>
      <c r="R136" s="217">
        <f t="shared" si="88"/>
        <v>44.511076304473434</v>
      </c>
      <c r="S136" s="217">
        <f t="shared" si="88"/>
        <v>44.511076304473434</v>
      </c>
      <c r="T136" s="217">
        <f t="shared" si="88"/>
        <v>44.511076304473434</v>
      </c>
      <c r="U136" s="217">
        <f t="shared" si="87"/>
        <v>0</v>
      </c>
    </row>
    <row r="137" spans="2:21">
      <c r="B137" s="24"/>
      <c r="C137" s="15" t="s">
        <v>223</v>
      </c>
      <c r="D137" s="90" t="s">
        <v>11</v>
      </c>
      <c r="E137" s="118">
        <f>E113</f>
        <v>67</v>
      </c>
      <c r="F137" s="118">
        <f>F187-1.8</f>
        <v>67</v>
      </c>
      <c r="G137" s="118">
        <f>G187-1.8</f>
        <v>62.000000000000007</v>
      </c>
      <c r="H137" s="118">
        <f>H187-1.8</f>
        <v>77</v>
      </c>
      <c r="I137" s="118">
        <f>I187-1.8</f>
        <v>76</v>
      </c>
      <c r="J137" s="255"/>
      <c r="K137" s="118">
        <f t="shared" ref="K137:T137" si="89">K187-1.8</f>
        <v>76</v>
      </c>
      <c r="L137" s="118">
        <f t="shared" si="89"/>
        <v>76</v>
      </c>
      <c r="M137" s="118">
        <f t="shared" si="89"/>
        <v>76</v>
      </c>
      <c r="N137" s="118">
        <f t="shared" si="89"/>
        <v>76</v>
      </c>
      <c r="O137" s="118">
        <f t="shared" si="89"/>
        <v>76</v>
      </c>
      <c r="P137" s="118">
        <f t="shared" si="89"/>
        <v>76</v>
      </c>
      <c r="Q137" s="118">
        <f t="shared" si="89"/>
        <v>76</v>
      </c>
      <c r="R137" s="118">
        <f t="shared" si="89"/>
        <v>76</v>
      </c>
      <c r="S137" s="118">
        <f t="shared" si="89"/>
        <v>76</v>
      </c>
      <c r="T137" s="118">
        <f t="shared" si="89"/>
        <v>76</v>
      </c>
    </row>
    <row r="138" spans="2:21">
      <c r="B138" s="24"/>
      <c r="C138" s="10" t="s">
        <v>224</v>
      </c>
      <c r="D138" s="80" t="s">
        <v>11</v>
      </c>
      <c r="E138" s="109">
        <f>E188-E136</f>
        <v>0.9089163319946465</v>
      </c>
      <c r="F138" s="109">
        <f>F188-F136</f>
        <v>0.88892369552656803</v>
      </c>
      <c r="G138" s="109">
        <f>G188-G136</f>
        <v>0.88892369552656803</v>
      </c>
      <c r="H138" s="109">
        <f>H188-H136</f>
        <v>0.88892369552656447</v>
      </c>
      <c r="I138" s="109">
        <f>I188-I136</f>
        <v>0.90145379930044811</v>
      </c>
      <c r="J138" s="264"/>
      <c r="K138" s="109">
        <f t="shared" ref="K138:T138" si="90">K188-K136</f>
        <v>0.93046184776328289</v>
      </c>
      <c r="L138" s="109">
        <f t="shared" si="90"/>
        <v>0.90969277164492723</v>
      </c>
      <c r="M138" s="109">
        <f t="shared" si="90"/>
        <v>0.90145379930044811</v>
      </c>
      <c r="N138" s="109">
        <f t="shared" si="90"/>
        <v>0.86815461940820882</v>
      </c>
      <c r="O138" s="109">
        <f t="shared" si="90"/>
        <v>0.84738554328985316</v>
      </c>
      <c r="P138" s="109">
        <f t="shared" si="90"/>
        <v>0.88892369552656447</v>
      </c>
      <c r="Q138" s="109">
        <f t="shared" si="90"/>
        <v>0.88892369552656447</v>
      </c>
      <c r="R138" s="109">
        <f t="shared" si="90"/>
        <v>0.88892369552656447</v>
      </c>
      <c r="S138" s="109">
        <f t="shared" si="90"/>
        <v>0.88892369552656447</v>
      </c>
      <c r="T138" s="109">
        <f t="shared" si="90"/>
        <v>0.88892369552656447</v>
      </c>
    </row>
    <row r="139" spans="2:21">
      <c r="B139" s="24"/>
      <c r="C139" s="10" t="s">
        <v>225</v>
      </c>
      <c r="D139" s="80" t="s">
        <v>1</v>
      </c>
      <c r="E139" s="119">
        <f>E138/E186</f>
        <v>0.35871983950806124</v>
      </c>
      <c r="F139" s="119">
        <f>F138/F186</f>
        <v>0.35079861701916659</v>
      </c>
      <c r="G139" s="119">
        <f>G138/G186</f>
        <v>0.35079861701916659</v>
      </c>
      <c r="H139" s="119">
        <f>H138/H186</f>
        <v>0.35079861701916515</v>
      </c>
      <c r="I139" s="119">
        <f>I138/I186</f>
        <v>0.35574340935297877</v>
      </c>
      <c r="J139" s="280"/>
      <c r="K139" s="119">
        <f t="shared" ref="K139:T139" si="91">K138/K186</f>
        <v>0.36719094229016691</v>
      </c>
      <c r="L139" s="119">
        <f t="shared" si="91"/>
        <v>0.35899477965466742</v>
      </c>
      <c r="M139" s="119">
        <f t="shared" si="91"/>
        <v>0.35574340935297877</v>
      </c>
      <c r="N139" s="119">
        <f t="shared" si="91"/>
        <v>0.34260245438366571</v>
      </c>
      <c r="O139" s="119">
        <f t="shared" si="91"/>
        <v>0.33440629174816622</v>
      </c>
      <c r="P139" s="119">
        <f t="shared" si="91"/>
        <v>0.35079861701916515</v>
      </c>
      <c r="Q139" s="119">
        <f t="shared" si="91"/>
        <v>0.35079861701916515</v>
      </c>
      <c r="R139" s="119">
        <f t="shared" si="91"/>
        <v>0.35079861701916515</v>
      </c>
      <c r="S139" s="119">
        <f t="shared" si="91"/>
        <v>0.35079861701916515</v>
      </c>
      <c r="T139" s="119">
        <f t="shared" si="91"/>
        <v>0.35079861701916515</v>
      </c>
    </row>
    <row r="140" spans="2:21">
      <c r="B140" s="24"/>
      <c r="C140" s="10" t="s">
        <v>111</v>
      </c>
      <c r="D140" s="80" t="s">
        <v>11</v>
      </c>
      <c r="E140" s="120">
        <f>E187-E137</f>
        <v>1.7999999999999972</v>
      </c>
      <c r="F140" s="120">
        <f>F187-F137</f>
        <v>1.7999999999999972</v>
      </c>
      <c r="G140" s="120">
        <f>G187-G137</f>
        <v>1.7999999999999972</v>
      </c>
      <c r="H140" s="120">
        <f>H187-H137</f>
        <v>1.7999999999999972</v>
      </c>
      <c r="I140" s="120">
        <f>I187-I137</f>
        <v>1.7999999999999972</v>
      </c>
      <c r="J140" s="281"/>
      <c r="K140" s="120">
        <f t="shared" ref="K140:T140" si="92">K187-K137</f>
        <v>1.7999999999999972</v>
      </c>
      <c r="L140" s="120">
        <f t="shared" si="92"/>
        <v>1.7999999999999972</v>
      </c>
      <c r="M140" s="120">
        <f t="shared" si="92"/>
        <v>1.7999999999999972</v>
      </c>
      <c r="N140" s="120">
        <f t="shared" si="92"/>
        <v>1.7999999999999972</v>
      </c>
      <c r="O140" s="120">
        <f t="shared" si="92"/>
        <v>1.7999999999999972</v>
      </c>
      <c r="P140" s="120">
        <f t="shared" si="92"/>
        <v>1.7999999999999972</v>
      </c>
      <c r="Q140" s="120">
        <f t="shared" si="92"/>
        <v>1.7999999999999972</v>
      </c>
      <c r="R140" s="120">
        <f t="shared" si="92"/>
        <v>1.7999999999999972</v>
      </c>
      <c r="S140" s="120">
        <f t="shared" si="92"/>
        <v>1.7999999999999972</v>
      </c>
      <c r="T140" s="120">
        <f t="shared" si="92"/>
        <v>1.7999999999999972</v>
      </c>
    </row>
    <row r="141" spans="2:21">
      <c r="B141" s="24"/>
      <c r="C141" s="10" t="s">
        <v>112</v>
      </c>
      <c r="D141" s="80" t="s">
        <v>1</v>
      </c>
      <c r="E141" s="119">
        <f>E140/E187</f>
        <v>2.6162790697674378E-2</v>
      </c>
      <c r="F141" s="119">
        <f>F140/F187</f>
        <v>2.6162790697674378E-2</v>
      </c>
      <c r="G141" s="119">
        <f>G140/G187</f>
        <v>2.821316614420058E-2</v>
      </c>
      <c r="H141" s="119">
        <f>H140/H187</f>
        <v>2.2842639593908594E-2</v>
      </c>
      <c r="I141" s="119">
        <f>I140/I187</f>
        <v>2.3136246786632356E-2</v>
      </c>
      <c r="J141" s="280"/>
      <c r="K141" s="119">
        <f t="shared" ref="K141:T141" si="93">K140/K187</f>
        <v>2.3136246786632356E-2</v>
      </c>
      <c r="L141" s="119">
        <f t="shared" si="93"/>
        <v>2.3136246786632356E-2</v>
      </c>
      <c r="M141" s="119">
        <f t="shared" si="93"/>
        <v>2.3136246786632356E-2</v>
      </c>
      <c r="N141" s="119">
        <f t="shared" si="93"/>
        <v>2.3136246786632356E-2</v>
      </c>
      <c r="O141" s="119">
        <f t="shared" si="93"/>
        <v>2.3136246786632356E-2</v>
      </c>
      <c r="P141" s="119">
        <f t="shared" si="93"/>
        <v>2.3136246786632356E-2</v>
      </c>
      <c r="Q141" s="119">
        <f t="shared" si="93"/>
        <v>2.3136246786632356E-2</v>
      </c>
      <c r="R141" s="119">
        <f t="shared" si="93"/>
        <v>2.3136246786632356E-2</v>
      </c>
      <c r="S141" s="119">
        <f t="shared" si="93"/>
        <v>2.3136246786632356E-2</v>
      </c>
      <c r="T141" s="119">
        <f t="shared" si="93"/>
        <v>2.3136246786632356E-2</v>
      </c>
    </row>
    <row r="142" spans="2:21">
      <c r="B142" s="24"/>
      <c r="C142" s="10" t="s">
        <v>226</v>
      </c>
      <c r="D142" s="80" t="s">
        <v>1</v>
      </c>
      <c r="E142" s="121">
        <v>0</v>
      </c>
      <c r="F142" s="121">
        <v>0</v>
      </c>
      <c r="G142" s="121">
        <v>0</v>
      </c>
      <c r="H142" s="121">
        <v>0</v>
      </c>
      <c r="I142" s="121">
        <v>0</v>
      </c>
      <c r="J142" s="282"/>
      <c r="K142" s="121">
        <v>0</v>
      </c>
      <c r="L142" s="121">
        <v>0</v>
      </c>
      <c r="M142" s="121">
        <v>0</v>
      </c>
      <c r="N142" s="121">
        <v>0</v>
      </c>
      <c r="O142" s="121">
        <v>0</v>
      </c>
      <c r="P142" s="121">
        <v>0</v>
      </c>
      <c r="Q142" s="121">
        <v>0</v>
      </c>
      <c r="R142" s="121">
        <v>0</v>
      </c>
      <c r="S142" s="121">
        <v>0</v>
      </c>
      <c r="T142" s="121">
        <v>0</v>
      </c>
    </row>
    <row r="143" spans="2:21">
      <c r="B143" s="24"/>
      <c r="C143" s="10" t="s">
        <v>113</v>
      </c>
      <c r="D143" s="80" t="s">
        <v>1</v>
      </c>
      <c r="E143" s="121">
        <v>0.01</v>
      </c>
      <c r="F143" s="121">
        <v>0.01</v>
      </c>
      <c r="G143" s="121">
        <v>0.01</v>
      </c>
      <c r="H143" s="121">
        <v>0.01</v>
      </c>
      <c r="I143" s="121">
        <v>0.01</v>
      </c>
      <c r="J143" s="282"/>
      <c r="K143" s="121">
        <v>0.01</v>
      </c>
      <c r="L143" s="121">
        <v>0.01</v>
      </c>
      <c r="M143" s="121">
        <v>0.01</v>
      </c>
      <c r="N143" s="121">
        <v>0.01</v>
      </c>
      <c r="O143" s="121">
        <v>0.01</v>
      </c>
      <c r="P143" s="121">
        <v>0.01</v>
      </c>
      <c r="Q143" s="121">
        <v>0.01</v>
      </c>
      <c r="R143" s="121">
        <v>0.01</v>
      </c>
      <c r="S143" s="121">
        <v>0.01</v>
      </c>
      <c r="T143" s="121">
        <v>0.01</v>
      </c>
    </row>
    <row r="144" spans="2:21">
      <c r="B144" s="24"/>
      <c r="C144" s="10" t="s">
        <v>114</v>
      </c>
      <c r="D144" s="80" t="s">
        <v>13</v>
      </c>
      <c r="E144" s="122">
        <f>E54*(1+E142)</f>
        <v>143.0033675632977</v>
      </c>
      <c r="F144" s="122">
        <f>F54*(1+F142)</f>
        <v>143.0033675632977</v>
      </c>
      <c r="G144" s="122">
        <f>G54*(1+G142)</f>
        <v>143.0033675632977</v>
      </c>
      <c r="H144" s="122">
        <f>H54*(1+H142)</f>
        <v>143.0033675632977</v>
      </c>
      <c r="I144" s="122">
        <f>I54*(1+I142)</f>
        <v>123.68581881677963</v>
      </c>
      <c r="J144" s="277"/>
      <c r="K144" s="122">
        <f t="shared" ref="K144:T144" si="94">K54*(1+K142)</f>
        <v>78.96437034881302</v>
      </c>
      <c r="L144" s="122">
        <f t="shared" si="94"/>
        <v>110.98386895605537</v>
      </c>
      <c r="M144" s="122">
        <f t="shared" si="94"/>
        <v>123.68581881677963</v>
      </c>
      <c r="N144" s="122">
        <f t="shared" si="94"/>
        <v>175.02286617054006</v>
      </c>
      <c r="O144" s="122">
        <f t="shared" si="94"/>
        <v>207.04236477778238</v>
      </c>
      <c r="P144" s="122">
        <f t="shared" si="94"/>
        <v>168.19203980099502</v>
      </c>
      <c r="Q144" s="122">
        <f t="shared" si="94"/>
        <v>158.61287313432837</v>
      </c>
      <c r="R144" s="122">
        <f t="shared" si="94"/>
        <v>150.16066725197541</v>
      </c>
      <c r="S144" s="122">
        <f t="shared" si="94"/>
        <v>142.64759535655057</v>
      </c>
      <c r="T144" s="122">
        <f t="shared" si="94"/>
        <v>139.1956434045986</v>
      </c>
    </row>
    <row r="145" spans="2:20">
      <c r="B145" s="24"/>
      <c r="C145" s="10" t="s">
        <v>115</v>
      </c>
      <c r="D145" s="80" t="s">
        <v>13</v>
      </c>
      <c r="E145" s="122">
        <f>E88*(1+E143)</f>
        <v>175.90900937081662</v>
      </c>
      <c r="F145" s="122">
        <f>F88*(1+F143)</f>
        <v>175.89413503632994</v>
      </c>
      <c r="G145" s="122">
        <f>G88*(1+G143)</f>
        <v>175.89413503632994</v>
      </c>
      <c r="H145" s="122">
        <f>H88*(1+H143)</f>
        <v>175.89413503632994</v>
      </c>
      <c r="I145" s="122">
        <f>I88*(1+I143)</f>
        <v>150.58332541308181</v>
      </c>
      <c r="J145" s="277"/>
      <c r="K145" s="122">
        <f t="shared" ref="K145:T145" si="95">K88*(1+K143)</f>
        <v>91.987067518164977</v>
      </c>
      <c r="L145" s="122">
        <f t="shared" si="95"/>
        <v>133.94060127724745</v>
      </c>
      <c r="M145" s="122">
        <f t="shared" si="95"/>
        <v>150.58332541308181</v>
      </c>
      <c r="N145" s="122">
        <f t="shared" si="95"/>
        <v>217.8476687954124</v>
      </c>
      <c r="O145" s="122">
        <f t="shared" si="95"/>
        <v>259.80120255449492</v>
      </c>
      <c r="P145" s="122">
        <f t="shared" si="95"/>
        <v>175.89413503632994</v>
      </c>
      <c r="Q145" s="122">
        <f t="shared" si="95"/>
        <v>175.89413503632994</v>
      </c>
      <c r="R145" s="122">
        <f t="shared" si="95"/>
        <v>175.89413503632994</v>
      </c>
      <c r="S145" s="122">
        <f t="shared" si="95"/>
        <v>175.89413503632994</v>
      </c>
      <c r="T145" s="122">
        <f t="shared" si="95"/>
        <v>175.89413503632994</v>
      </c>
    </row>
    <row r="146" spans="2:20">
      <c r="B146" s="24"/>
      <c r="C146" s="10" t="s">
        <v>116</v>
      </c>
      <c r="D146" s="80" t="s">
        <v>3</v>
      </c>
      <c r="E146" s="120">
        <f>E83/(1+E143)</f>
        <v>1.4792079207920792</v>
      </c>
      <c r="F146" s="120">
        <f>F83/(1+F143)</f>
        <v>1.4792079207920792</v>
      </c>
      <c r="G146" s="120">
        <f>G83/(1+G143)</f>
        <v>1.4792079207920792</v>
      </c>
      <c r="H146" s="120">
        <f>H83/(1+H143)</f>
        <v>1.4792079207920792</v>
      </c>
      <c r="I146" s="120">
        <f>I83/(1+I143)</f>
        <v>1.4792079207920792</v>
      </c>
      <c r="J146" s="281"/>
      <c r="K146" s="120">
        <f t="shared" ref="K146:T146" si="96">K83/(1+K143)</f>
        <v>1.4792079207920792</v>
      </c>
      <c r="L146" s="120">
        <f t="shared" si="96"/>
        <v>1.4792079207920792</v>
      </c>
      <c r="M146" s="120">
        <f t="shared" si="96"/>
        <v>1.4792079207920792</v>
      </c>
      <c r="N146" s="120">
        <f t="shared" si="96"/>
        <v>1.4792079207920792</v>
      </c>
      <c r="O146" s="120">
        <f t="shared" si="96"/>
        <v>1.4792079207920792</v>
      </c>
      <c r="P146" s="120">
        <f t="shared" si="96"/>
        <v>1.4792079207920792</v>
      </c>
      <c r="Q146" s="120">
        <f t="shared" si="96"/>
        <v>1.4792079207920792</v>
      </c>
      <c r="R146" s="120">
        <f t="shared" si="96"/>
        <v>1.4792079207920792</v>
      </c>
      <c r="S146" s="120">
        <f t="shared" si="96"/>
        <v>1.4792079207920792</v>
      </c>
      <c r="T146" s="120">
        <f t="shared" si="96"/>
        <v>1.4792079207920792</v>
      </c>
    </row>
    <row r="147" spans="2:20">
      <c r="B147" s="24"/>
      <c r="C147" s="10" t="s">
        <v>117</v>
      </c>
      <c r="D147" s="80" t="s">
        <v>16</v>
      </c>
      <c r="E147" s="123">
        <f>E68+E104</f>
        <v>3.351487309493157</v>
      </c>
      <c r="F147" s="123">
        <f>F68+F104</f>
        <v>3.3510303721443879</v>
      </c>
      <c r="G147" s="123">
        <f>G68+G104</f>
        <v>2.2477182424222377</v>
      </c>
      <c r="H147" s="123">
        <f>H68+H104</f>
        <v>19.079011781821499</v>
      </c>
      <c r="I147" s="123">
        <f>I68+I104</f>
        <v>18.404483108587073</v>
      </c>
      <c r="J147" s="283"/>
      <c r="K147" s="123">
        <f t="shared" ref="K147:T147" si="97">K68+K104</f>
        <v>16.635582305308326</v>
      </c>
      <c r="L147" s="123">
        <f t="shared" si="97"/>
        <v>18.036161952517809</v>
      </c>
      <c r="M147" s="123">
        <f t="shared" si="97"/>
        <v>18.404483108587073</v>
      </c>
      <c r="N147" s="123">
        <f t="shared" si="97"/>
        <v>19.391670383006307</v>
      </c>
      <c r="O147" s="123">
        <f t="shared" si="97"/>
        <v>19.785851019458356</v>
      </c>
      <c r="P147" s="123">
        <f t="shared" si="97"/>
        <v>24.84419168311306</v>
      </c>
      <c r="Q147" s="123">
        <f t="shared" si="97"/>
        <v>22.66537665911649</v>
      </c>
      <c r="R147" s="123">
        <f t="shared" si="97"/>
        <v>20.642220177272854</v>
      </c>
      <c r="S147" s="123">
        <f t="shared" si="97"/>
        <v>18.758616211372747</v>
      </c>
      <c r="T147" s="123">
        <f t="shared" si="97"/>
        <v>17.864710598464711</v>
      </c>
    </row>
    <row r="148" spans="2:20">
      <c r="B148" s="24"/>
      <c r="C148" s="10" t="s">
        <v>118</v>
      </c>
      <c r="D148" s="80" t="s">
        <v>1</v>
      </c>
      <c r="E148" s="121">
        <v>1</v>
      </c>
      <c r="F148" s="121">
        <v>1</v>
      </c>
      <c r="G148" s="121">
        <v>1</v>
      </c>
      <c r="H148" s="121">
        <v>1</v>
      </c>
      <c r="I148" s="121">
        <v>1</v>
      </c>
      <c r="J148" s="282"/>
      <c r="K148" s="121">
        <v>1</v>
      </c>
      <c r="L148" s="121">
        <v>1</v>
      </c>
      <c r="M148" s="121">
        <v>1</v>
      </c>
      <c r="N148" s="121">
        <v>1</v>
      </c>
      <c r="O148" s="121">
        <v>1</v>
      </c>
      <c r="P148" s="121">
        <v>1</v>
      </c>
      <c r="Q148" s="121">
        <v>1</v>
      </c>
      <c r="R148" s="121">
        <v>1</v>
      </c>
      <c r="S148" s="121">
        <v>1</v>
      </c>
      <c r="T148" s="121">
        <v>1</v>
      </c>
    </row>
    <row r="149" spans="2:20">
      <c r="B149" s="24"/>
      <c r="C149" s="50" t="s">
        <v>119</v>
      </c>
      <c r="D149" s="86" t="s">
        <v>16</v>
      </c>
      <c r="E149" s="124">
        <f t="shared" ref="E149:I149" si="98">E147*E148</f>
        <v>3.351487309493157</v>
      </c>
      <c r="F149" s="124">
        <f t="shared" si="98"/>
        <v>3.3510303721443879</v>
      </c>
      <c r="G149" s="124">
        <f t="shared" si="98"/>
        <v>2.2477182424222377</v>
      </c>
      <c r="H149" s="124">
        <f t="shared" si="98"/>
        <v>19.079011781821499</v>
      </c>
      <c r="I149" s="124">
        <f t="shared" si="98"/>
        <v>18.404483108587073</v>
      </c>
      <c r="J149" s="284"/>
      <c r="K149" s="124">
        <f t="shared" ref="K149:T149" si="99">K147*K148</f>
        <v>16.635582305308326</v>
      </c>
      <c r="L149" s="124">
        <f t="shared" si="99"/>
        <v>18.036161952517809</v>
      </c>
      <c r="M149" s="124">
        <f t="shared" si="99"/>
        <v>18.404483108587073</v>
      </c>
      <c r="N149" s="124">
        <f t="shared" si="99"/>
        <v>19.391670383006307</v>
      </c>
      <c r="O149" s="124">
        <f t="shared" si="99"/>
        <v>19.785851019458356</v>
      </c>
      <c r="P149" s="124">
        <f t="shared" si="99"/>
        <v>24.84419168311306</v>
      </c>
      <c r="Q149" s="124">
        <f t="shared" si="99"/>
        <v>22.66537665911649</v>
      </c>
      <c r="R149" s="124">
        <f t="shared" si="99"/>
        <v>20.642220177272854</v>
      </c>
      <c r="S149" s="124">
        <f t="shared" si="99"/>
        <v>18.758616211372747</v>
      </c>
      <c r="T149" s="124">
        <f t="shared" si="99"/>
        <v>17.864710598464711</v>
      </c>
    </row>
    <row r="150" spans="2:20">
      <c r="B150" s="24"/>
      <c r="C150" s="15" t="s">
        <v>227</v>
      </c>
      <c r="D150" s="90" t="s">
        <v>16</v>
      </c>
      <c r="E150" s="130">
        <f>E67+E103+E116+E64/E63+E100/E99</f>
        <v>18.562904809786964</v>
      </c>
      <c r="F150" s="130">
        <f>F67+F103+F116+F64/F63+F100/F99</f>
        <v>18.559908732078267</v>
      </c>
      <c r="G150" s="130">
        <f>G67+G103+G116+G64/G63+G100/G99</f>
        <v>12.45050440733117</v>
      </c>
      <c r="H150" s="130">
        <f>H67+H103+H116+H64/H63+H100/H99</f>
        <v>105.70312420484387</v>
      </c>
      <c r="I150" s="130">
        <f>I67+I103+I116+I64/I63+I100/I99</f>
        <v>104.40801896042883</v>
      </c>
      <c r="J150" s="285"/>
      <c r="K150" s="130">
        <f t="shared" ref="K150:T150" si="100">K67+K103+K116+K64/K63+K100/K99</f>
        <v>102.49308926950171</v>
      </c>
      <c r="L150" s="130">
        <f t="shared" si="100"/>
        <v>103.99196007695757</v>
      </c>
      <c r="M150" s="130">
        <f t="shared" si="100"/>
        <v>104.40801896042883</v>
      </c>
      <c r="N150" s="130">
        <f t="shared" si="100"/>
        <v>105.61182942497035</v>
      </c>
      <c r="O150" s="130">
        <f t="shared" si="100"/>
        <v>106.15176633901264</v>
      </c>
      <c r="P150" s="130">
        <f t="shared" si="100"/>
        <v>104.99741683149119</v>
      </c>
      <c r="Q150" s="130">
        <f t="shared" si="100"/>
        <v>104.9733595427472</v>
      </c>
      <c r="R150" s="130">
        <f t="shared" si="100"/>
        <v>104.95102910776295</v>
      </c>
      <c r="S150" s="130">
        <f t="shared" si="100"/>
        <v>104.93024537791732</v>
      </c>
      <c r="T150" s="130">
        <f t="shared" si="100"/>
        <v>104.92038400639302</v>
      </c>
    </row>
    <row r="151" spans="2:20">
      <c r="B151" s="24"/>
      <c r="C151" s="10" t="s">
        <v>228</v>
      </c>
      <c r="D151" s="80" t="s">
        <v>15</v>
      </c>
      <c r="E151" s="123">
        <f>E58+E92+E64+E100+E118</f>
        <v>49.154453650000001</v>
      </c>
      <c r="F151" s="123">
        <f>F58+F92+F64+F100+F118</f>
        <v>49.145744203352763</v>
      </c>
      <c r="G151" s="123">
        <f>G58+G92+G64+G100+G118</f>
        <v>32.93870188412486</v>
      </c>
      <c r="H151" s="123">
        <f>H58+H92+H64+H100+H118</f>
        <v>280.40232370037711</v>
      </c>
      <c r="I151" s="123">
        <f>I58+I92+I64+I100+I118</f>
        <v>280.41348169396065</v>
      </c>
      <c r="J151" s="283"/>
      <c r="K151" s="123">
        <f t="shared" ref="K151:T151" si="101">K58+K92+K64+K100+K118</f>
        <v>285.44406337041687</v>
      </c>
      <c r="L151" s="123">
        <f t="shared" si="101"/>
        <v>281.40577755220767</v>
      </c>
      <c r="M151" s="123">
        <f t="shared" si="101"/>
        <v>280.41348169396065</v>
      </c>
      <c r="N151" s="123">
        <f t="shared" si="101"/>
        <v>278.03628377872593</v>
      </c>
      <c r="O151" s="123">
        <f t="shared" si="101"/>
        <v>277.2758575479204</v>
      </c>
      <c r="P151" s="123">
        <f t="shared" si="101"/>
        <v>260.02024857771909</v>
      </c>
      <c r="Q151" s="123">
        <f t="shared" si="101"/>
        <v>267.02007470984171</v>
      </c>
      <c r="R151" s="123">
        <f t="shared" si="101"/>
        <v>273.51984692065867</v>
      </c>
      <c r="S151" s="123">
        <f t="shared" si="101"/>
        <v>279.57130113031366</v>
      </c>
      <c r="T151" s="123">
        <f t="shared" si="101"/>
        <v>282.44315808274507</v>
      </c>
    </row>
    <row r="152" spans="2:20" ht="16" thickBot="1">
      <c r="B152" s="24"/>
      <c r="C152" s="131" t="s">
        <v>229</v>
      </c>
      <c r="D152" s="132" t="s">
        <v>16</v>
      </c>
      <c r="E152" s="180">
        <f>E147+E119</f>
        <v>3.666162859493157</v>
      </c>
      <c r="F152" s="180">
        <f>F147+F119</f>
        <v>3.6656345914745514</v>
      </c>
      <c r="G152" s="180">
        <f>G147+G119</f>
        <v>2.4664885011059967</v>
      </c>
      <c r="H152" s="180">
        <f>H147+H119</f>
        <v>20.744103421289505</v>
      </c>
      <c r="I152" s="180">
        <f>I147+I119</f>
        <v>20.291771701421247</v>
      </c>
      <c r="J152" s="286"/>
      <c r="K152" s="180">
        <f t="shared" ref="K152:T152" si="102">K147+K119</f>
        <v>19.52430716486024</v>
      </c>
      <c r="L152" s="180">
        <f t="shared" si="102"/>
        <v>20.128510187711996</v>
      </c>
      <c r="M152" s="180">
        <f t="shared" si="102"/>
        <v>20.291771701421247</v>
      </c>
      <c r="N152" s="180">
        <f t="shared" si="102"/>
        <v>20.747045386696666</v>
      </c>
      <c r="O152" s="180">
        <f t="shared" si="102"/>
        <v>20.940654600894039</v>
      </c>
      <c r="P152" s="180">
        <f t="shared" si="102"/>
        <v>26.375836776499529</v>
      </c>
      <c r="Q152" s="180">
        <f t="shared" si="102"/>
        <v>24.237665523636331</v>
      </c>
      <c r="R152" s="180">
        <f t="shared" si="102"/>
        <v>22.252249301217599</v>
      </c>
      <c r="S152" s="180">
        <f t="shared" si="102"/>
        <v>20.403782482337846</v>
      </c>
      <c r="T152" s="180">
        <f t="shared" si="102"/>
        <v>19.526552011711811</v>
      </c>
    </row>
    <row r="153" spans="2:20">
      <c r="B153" s="24"/>
      <c r="C153" s="133" t="s">
        <v>127</v>
      </c>
      <c r="D153" s="90" t="s">
        <v>3</v>
      </c>
      <c r="E153" s="134">
        <v>1.22</v>
      </c>
      <c r="F153" s="134">
        <v>1.22</v>
      </c>
      <c r="G153" s="134">
        <v>1.22</v>
      </c>
      <c r="H153" s="134">
        <v>1.22</v>
      </c>
      <c r="I153" s="134">
        <v>1.22</v>
      </c>
      <c r="J153" s="287"/>
      <c r="K153" s="134">
        <v>1.22</v>
      </c>
      <c r="L153" s="134">
        <v>1.22</v>
      </c>
      <c r="M153" s="134">
        <v>1.22</v>
      </c>
      <c r="N153" s="134">
        <v>1.22</v>
      </c>
      <c r="O153" s="134">
        <v>1.22</v>
      </c>
      <c r="P153" s="134">
        <v>1.22</v>
      </c>
      <c r="Q153" s="134">
        <v>1.22</v>
      </c>
      <c r="R153" s="134">
        <v>1.22</v>
      </c>
      <c r="S153" s="134">
        <v>1.22</v>
      </c>
      <c r="T153" s="134">
        <v>1.22</v>
      </c>
    </row>
    <row r="154" spans="2:20">
      <c r="B154" s="24"/>
      <c r="C154" s="10" t="s">
        <v>230</v>
      </c>
      <c r="D154" s="80" t="s">
        <v>15</v>
      </c>
      <c r="E154" s="120">
        <f t="shared" ref="E154:I154" si="103">E153*E152</f>
        <v>4.4727186885816517</v>
      </c>
      <c r="F154" s="120">
        <f t="shared" si="103"/>
        <v>4.4720742015989527</v>
      </c>
      <c r="G154" s="120">
        <f t="shared" si="103"/>
        <v>3.0091159713493161</v>
      </c>
      <c r="H154" s="120">
        <f t="shared" si="103"/>
        <v>25.307806173973198</v>
      </c>
      <c r="I154" s="120">
        <f t="shared" si="103"/>
        <v>24.755961475733923</v>
      </c>
      <c r="J154" s="281"/>
      <c r="K154" s="120">
        <f t="shared" ref="K154:T154" si="104">K153*K152</f>
        <v>23.81965474112949</v>
      </c>
      <c r="L154" s="120">
        <f t="shared" si="104"/>
        <v>24.556782429008635</v>
      </c>
      <c r="M154" s="120">
        <f t="shared" si="104"/>
        <v>24.755961475733923</v>
      </c>
      <c r="N154" s="120">
        <f t="shared" si="104"/>
        <v>25.311395371769933</v>
      </c>
      <c r="O154" s="120">
        <f t="shared" si="104"/>
        <v>25.547598613090727</v>
      </c>
      <c r="P154" s="120">
        <f t="shared" si="104"/>
        <v>32.178520867329425</v>
      </c>
      <c r="Q154" s="120">
        <f t="shared" si="104"/>
        <v>29.569951938836322</v>
      </c>
      <c r="R154" s="120">
        <f t="shared" si="104"/>
        <v>27.147744147485472</v>
      </c>
      <c r="S154" s="120">
        <f t="shared" si="104"/>
        <v>24.892614628452172</v>
      </c>
      <c r="T154" s="120">
        <f t="shared" si="104"/>
        <v>23.822393454288409</v>
      </c>
    </row>
    <row r="155" spans="2:20">
      <c r="B155" s="24"/>
      <c r="C155" s="50" t="s">
        <v>231</v>
      </c>
      <c r="D155" s="80" t="s">
        <v>15</v>
      </c>
      <c r="E155" s="136">
        <v>6.13</v>
      </c>
      <c r="F155" s="136">
        <f>F154*F156</f>
        <v>6.1267416561905659</v>
      </c>
      <c r="G155" s="136">
        <f>G154*G156</f>
        <v>4.1224888807485636</v>
      </c>
      <c r="H155" s="136">
        <f>H154*H156</f>
        <v>34.671694458343282</v>
      </c>
      <c r="I155" s="136">
        <f>I154*I156</f>
        <v>33.915667221755477</v>
      </c>
      <c r="J155" s="288"/>
      <c r="K155" s="136">
        <f t="shared" ref="K155:T155" si="105">K154*K156</f>
        <v>32.632926995347404</v>
      </c>
      <c r="L155" s="136">
        <f t="shared" si="105"/>
        <v>33.642791927741833</v>
      </c>
      <c r="M155" s="136">
        <f t="shared" si="105"/>
        <v>33.915667221755477</v>
      </c>
      <c r="N155" s="136">
        <f t="shared" si="105"/>
        <v>34.676611659324813</v>
      </c>
      <c r="O155" s="136">
        <f t="shared" si="105"/>
        <v>35.0002100999343</v>
      </c>
      <c r="P155" s="136">
        <f t="shared" si="105"/>
        <v>44.084573588241312</v>
      </c>
      <c r="Q155" s="136">
        <f t="shared" si="105"/>
        <v>40.510834156205767</v>
      </c>
      <c r="R155" s="136">
        <f t="shared" si="105"/>
        <v>37.192409482055098</v>
      </c>
      <c r="S155" s="136">
        <f t="shared" si="105"/>
        <v>34.10288204097948</v>
      </c>
      <c r="T155" s="136">
        <f t="shared" si="105"/>
        <v>32.63667903237512</v>
      </c>
    </row>
    <row r="156" spans="2:20" ht="16" thickBot="1">
      <c r="B156" s="24"/>
      <c r="C156" s="186" t="s">
        <v>232</v>
      </c>
      <c r="D156" s="90" t="s">
        <v>156</v>
      </c>
      <c r="E156" s="92">
        <f>E155/E154</f>
        <v>1.3705310856346056</v>
      </c>
      <c r="F156" s="92">
        <v>1.37</v>
      </c>
      <c r="G156" s="92">
        <v>1.37</v>
      </c>
      <c r="H156" s="92">
        <v>1.37</v>
      </c>
      <c r="I156" s="92">
        <v>1.37</v>
      </c>
      <c r="J156" s="256"/>
      <c r="K156" s="92">
        <v>1.37</v>
      </c>
      <c r="L156" s="92">
        <v>1.37</v>
      </c>
      <c r="M156" s="92">
        <v>1.37</v>
      </c>
      <c r="N156" s="92">
        <v>1.37</v>
      </c>
      <c r="O156" s="92">
        <v>1.37</v>
      </c>
      <c r="P156" s="92">
        <v>1.37</v>
      </c>
      <c r="Q156" s="92">
        <v>1.37</v>
      </c>
      <c r="R156" s="92">
        <v>1.37</v>
      </c>
      <c r="S156" s="92">
        <v>1.37</v>
      </c>
      <c r="T156" s="92">
        <v>1.37</v>
      </c>
    </row>
    <row r="157" spans="2:20">
      <c r="B157" s="44" t="s">
        <v>233</v>
      </c>
      <c r="C157" s="137" t="s">
        <v>234</v>
      </c>
      <c r="D157" s="76" t="s">
        <v>11</v>
      </c>
      <c r="E157" s="5">
        <v>21</v>
      </c>
      <c r="F157" s="5">
        <v>21</v>
      </c>
      <c r="G157" s="5">
        <v>18</v>
      </c>
      <c r="H157" s="5">
        <v>46</v>
      </c>
      <c r="I157" s="5">
        <v>46</v>
      </c>
      <c r="J157" s="289"/>
      <c r="K157" s="5">
        <v>46</v>
      </c>
      <c r="L157" s="5">
        <v>46</v>
      </c>
      <c r="M157" s="5">
        <v>46</v>
      </c>
      <c r="N157" s="5">
        <v>46</v>
      </c>
      <c r="O157" s="5">
        <v>46</v>
      </c>
      <c r="P157" s="5">
        <v>46</v>
      </c>
      <c r="Q157" s="5">
        <v>46</v>
      </c>
      <c r="R157" s="5">
        <v>46</v>
      </c>
      <c r="S157" s="5">
        <v>46</v>
      </c>
      <c r="T157" s="5">
        <v>46</v>
      </c>
    </row>
    <row r="158" spans="2:20">
      <c r="B158" s="6"/>
      <c r="C158" s="138" t="s">
        <v>235</v>
      </c>
      <c r="D158" s="80" t="s">
        <v>31</v>
      </c>
      <c r="E158" s="84">
        <v>70</v>
      </c>
      <c r="F158" s="84">
        <v>70</v>
      </c>
      <c r="G158" s="84">
        <v>65</v>
      </c>
      <c r="H158" s="84">
        <v>80</v>
      </c>
      <c r="I158" s="84">
        <v>80</v>
      </c>
      <c r="J158" s="179"/>
      <c r="K158" s="84">
        <v>80</v>
      </c>
      <c r="L158" s="84">
        <v>80</v>
      </c>
      <c r="M158" s="84">
        <v>80</v>
      </c>
      <c r="N158" s="84">
        <v>80</v>
      </c>
      <c r="O158" s="84">
        <v>80</v>
      </c>
      <c r="P158" s="84">
        <v>80</v>
      </c>
      <c r="Q158" s="84">
        <v>80</v>
      </c>
      <c r="R158" s="84">
        <v>80</v>
      </c>
      <c r="S158" s="84">
        <v>80</v>
      </c>
      <c r="T158" s="84">
        <v>80</v>
      </c>
    </row>
    <row r="159" spans="2:20">
      <c r="B159" s="6"/>
      <c r="C159" s="138" t="s">
        <v>236</v>
      </c>
      <c r="D159" s="80" t="s">
        <v>11</v>
      </c>
      <c r="E159" s="84">
        <v>0.3</v>
      </c>
      <c r="F159" s="84">
        <v>0.3</v>
      </c>
      <c r="G159" s="84">
        <v>0.3</v>
      </c>
      <c r="H159" s="84">
        <v>0.3</v>
      </c>
      <c r="I159" s="84">
        <v>0.3</v>
      </c>
      <c r="J159" s="179"/>
      <c r="K159" s="84">
        <v>0.3</v>
      </c>
      <c r="L159" s="84">
        <v>0.3</v>
      </c>
      <c r="M159" s="84">
        <v>0.3</v>
      </c>
      <c r="N159" s="84">
        <v>0.3</v>
      </c>
      <c r="O159" s="84">
        <v>0.3</v>
      </c>
      <c r="P159" s="84">
        <v>0.3</v>
      </c>
      <c r="Q159" s="84">
        <v>0.3</v>
      </c>
      <c r="R159" s="84">
        <v>0.3</v>
      </c>
      <c r="S159" s="84">
        <v>0.3</v>
      </c>
      <c r="T159" s="84">
        <v>0.3</v>
      </c>
    </row>
    <row r="160" spans="2:20">
      <c r="B160" s="6"/>
      <c r="C160" s="138" t="s">
        <v>237</v>
      </c>
      <c r="D160" s="80" t="s">
        <v>153</v>
      </c>
      <c r="E160" s="179">
        <f>PI()*((E157)/2)^2*(E158)/1000</f>
        <v>24.245241304079226</v>
      </c>
      <c r="F160" s="179">
        <f>PI()*((F157)/2)^2*(F158)/1000</f>
        <v>24.245241304079226</v>
      </c>
      <c r="G160" s="179">
        <f>PI()*((G157)/2)^2*(G158)/1000</f>
        <v>16.54048532115026</v>
      </c>
      <c r="H160" s="179">
        <f>PI()*((H157)/2)^2*(H158)/1000</f>
        <v>132.95220109992002</v>
      </c>
      <c r="I160" s="179">
        <f>PI()*((I157)/2)^2*(I158)/1000</f>
        <v>132.95220109992002</v>
      </c>
      <c r="J160" s="179"/>
      <c r="K160" s="179">
        <f t="shared" ref="K160:T160" si="106">PI()*((K157)/2)^2*(K158)/1000</f>
        <v>132.95220109992002</v>
      </c>
      <c r="L160" s="179">
        <f t="shared" si="106"/>
        <v>132.95220109992002</v>
      </c>
      <c r="M160" s="179">
        <f t="shared" si="106"/>
        <v>132.95220109992002</v>
      </c>
      <c r="N160" s="179">
        <f t="shared" si="106"/>
        <v>132.95220109992002</v>
      </c>
      <c r="O160" s="179">
        <f t="shared" si="106"/>
        <v>132.95220109992002</v>
      </c>
      <c r="P160" s="179">
        <f t="shared" si="106"/>
        <v>132.95220109992002</v>
      </c>
      <c r="Q160" s="179">
        <f t="shared" si="106"/>
        <v>132.95220109992002</v>
      </c>
      <c r="R160" s="179">
        <f t="shared" si="106"/>
        <v>132.95220109992002</v>
      </c>
      <c r="S160" s="179">
        <f t="shared" si="106"/>
        <v>132.95220109992002</v>
      </c>
      <c r="T160" s="179">
        <f t="shared" si="106"/>
        <v>132.95220109992002</v>
      </c>
    </row>
    <row r="161" spans="2:20">
      <c r="B161" s="6"/>
      <c r="C161" s="138" t="s">
        <v>128</v>
      </c>
      <c r="D161" s="80" t="s">
        <v>153</v>
      </c>
      <c r="E161" s="179">
        <f>PI()*((E157-E159*2)/2)^2*(E158-1.5)/1000</f>
        <v>22.389314028044524</v>
      </c>
      <c r="F161" s="179">
        <f>PI()*((F157-F159*2)/2)^2*(F158-1.5)/1000</f>
        <v>22.389314028044524</v>
      </c>
      <c r="G161" s="179">
        <f>PI()*((G157-G159*2)/2)^2*(G158-1.5)/1000</f>
        <v>15.099483894838425</v>
      </c>
      <c r="H161" s="179">
        <f>PI()*((H157-H159*2)/2)^2*(H158-1.5)/1000</f>
        <v>127.07825535976032</v>
      </c>
      <c r="I161" s="179">
        <f>PI()*((I157-I159*2)/2)^2*(I158-1.5)/1000</f>
        <v>127.07825535976032</v>
      </c>
      <c r="J161" s="179"/>
      <c r="K161" s="179">
        <f t="shared" ref="K161:T161" si="107">PI()*((K157-K159*2)/2)^2*(K158-1.5)/1000</f>
        <v>127.07825535976032</v>
      </c>
      <c r="L161" s="179">
        <f t="shared" si="107"/>
        <v>127.07825535976032</v>
      </c>
      <c r="M161" s="179">
        <f t="shared" si="107"/>
        <v>127.07825535976032</v>
      </c>
      <c r="N161" s="179">
        <f t="shared" si="107"/>
        <v>127.07825535976032</v>
      </c>
      <c r="O161" s="179">
        <f t="shared" si="107"/>
        <v>127.07825535976032</v>
      </c>
      <c r="P161" s="179">
        <f t="shared" si="107"/>
        <v>127.07825535976032</v>
      </c>
      <c r="Q161" s="179">
        <f t="shared" si="107"/>
        <v>127.07825535976032</v>
      </c>
      <c r="R161" s="179">
        <f t="shared" si="107"/>
        <v>127.07825535976032</v>
      </c>
      <c r="S161" s="179">
        <f t="shared" si="107"/>
        <v>127.07825535976032</v>
      </c>
      <c r="T161" s="179">
        <f t="shared" si="107"/>
        <v>127.07825535976032</v>
      </c>
    </row>
    <row r="162" spans="2:20">
      <c r="B162" s="6"/>
      <c r="C162" s="138" t="s">
        <v>238</v>
      </c>
      <c r="D162" s="80" t="s">
        <v>15</v>
      </c>
      <c r="E162" s="84">
        <v>12.01</v>
      </c>
      <c r="F162" s="179">
        <f>F163*(3.14*F157*F158+3.14*F157/2*F157/2)/1000</f>
        <v>12.012965685000001</v>
      </c>
      <c r="G162" s="179">
        <f>G163*(3.14*G157*G158+3.14*G157/2*G157/2)/1000</f>
        <v>9.5100269399999995</v>
      </c>
      <c r="H162" s="179">
        <f>H163*(3.14*H157*H158+3.14*H157/2*H157/2)/1000</f>
        <v>31.996565459999999</v>
      </c>
      <c r="I162" s="179">
        <f>I163*(3.14*I157*I158+3.14*I157/2*I157/2)/1000</f>
        <v>31.996565459999999</v>
      </c>
      <c r="J162" s="179"/>
      <c r="K162" s="179">
        <f t="shared" ref="K162:T162" si="108">K163*(3.14*K157*K158+3.14*K157/2*K157/2)/1000</f>
        <v>31.996565459999999</v>
      </c>
      <c r="L162" s="179">
        <f t="shared" si="108"/>
        <v>31.996565459999999</v>
      </c>
      <c r="M162" s="179">
        <f t="shared" si="108"/>
        <v>31.996565459999999</v>
      </c>
      <c r="N162" s="179">
        <f t="shared" si="108"/>
        <v>31.996565459999999</v>
      </c>
      <c r="O162" s="179">
        <f t="shared" si="108"/>
        <v>31.996565459999999</v>
      </c>
      <c r="P162" s="179">
        <f t="shared" si="108"/>
        <v>31.996565459999999</v>
      </c>
      <c r="Q162" s="179">
        <f t="shared" si="108"/>
        <v>31.996565459999999</v>
      </c>
      <c r="R162" s="179">
        <f t="shared" si="108"/>
        <v>31.996565459999999</v>
      </c>
      <c r="S162" s="179">
        <f t="shared" si="108"/>
        <v>31.996565459999999</v>
      </c>
      <c r="T162" s="179">
        <f t="shared" si="108"/>
        <v>31.996565459999999</v>
      </c>
    </row>
    <row r="163" spans="2:20">
      <c r="B163" s="6"/>
      <c r="C163" s="139" t="s">
        <v>239</v>
      </c>
      <c r="D163" s="80" t="s">
        <v>30</v>
      </c>
      <c r="E163" s="182">
        <f>E162*1000/(3.14*E157*E158+3.14*E157/2*E157/2)</f>
        <v>2.4204023188300647</v>
      </c>
      <c r="F163" s="182">
        <f>F164*F159</f>
        <v>2.4209999999999998</v>
      </c>
      <c r="G163" s="182">
        <f>G164*G159</f>
        <v>2.4209999999999998</v>
      </c>
      <c r="H163" s="182">
        <f>H164*H159</f>
        <v>2.4209999999999998</v>
      </c>
      <c r="I163" s="182">
        <f>I164*I159</f>
        <v>2.4209999999999998</v>
      </c>
      <c r="J163" s="182"/>
      <c r="K163" s="182">
        <f t="shared" ref="K163:T163" si="109">K164*K159</f>
        <v>2.4209999999999998</v>
      </c>
      <c r="L163" s="182">
        <f t="shared" si="109"/>
        <v>2.4209999999999998</v>
      </c>
      <c r="M163" s="182">
        <f t="shared" si="109"/>
        <v>2.4209999999999998</v>
      </c>
      <c r="N163" s="182">
        <f t="shared" si="109"/>
        <v>2.4209999999999998</v>
      </c>
      <c r="O163" s="182">
        <f t="shared" si="109"/>
        <v>2.4209999999999998</v>
      </c>
      <c r="P163" s="182">
        <f t="shared" si="109"/>
        <v>2.4209999999999998</v>
      </c>
      <c r="Q163" s="182">
        <f t="shared" si="109"/>
        <v>2.4209999999999998</v>
      </c>
      <c r="R163" s="182">
        <f t="shared" si="109"/>
        <v>2.4209999999999998</v>
      </c>
      <c r="S163" s="182">
        <f t="shared" si="109"/>
        <v>2.4209999999999998</v>
      </c>
      <c r="T163" s="182">
        <f t="shared" si="109"/>
        <v>2.4209999999999998</v>
      </c>
    </row>
    <row r="164" spans="2:20">
      <c r="B164" s="6"/>
      <c r="C164" s="139" t="s">
        <v>240</v>
      </c>
      <c r="D164" s="80" t="s">
        <v>154</v>
      </c>
      <c r="E164" s="182">
        <f>E163/E159</f>
        <v>8.0680077294335497</v>
      </c>
      <c r="F164" s="188">
        <v>8.07</v>
      </c>
      <c r="G164" s="188">
        <v>8.07</v>
      </c>
      <c r="H164" s="188">
        <v>8.07</v>
      </c>
      <c r="I164" s="188">
        <v>8.07</v>
      </c>
      <c r="J164" s="182"/>
      <c r="K164" s="188">
        <v>8.07</v>
      </c>
      <c r="L164" s="188">
        <v>8.07</v>
      </c>
      <c r="M164" s="188">
        <v>8.07</v>
      </c>
      <c r="N164" s="188">
        <v>8.07</v>
      </c>
      <c r="O164" s="188">
        <v>8.07</v>
      </c>
      <c r="P164" s="188">
        <v>8.07</v>
      </c>
      <c r="Q164" s="188">
        <v>8.07</v>
      </c>
      <c r="R164" s="188">
        <v>8.07</v>
      </c>
      <c r="S164" s="188">
        <v>8.07</v>
      </c>
      <c r="T164" s="188">
        <v>8.07</v>
      </c>
    </row>
    <row r="165" spans="2:20">
      <c r="B165" s="6"/>
      <c r="C165" s="139" t="s">
        <v>241</v>
      </c>
      <c r="D165" s="80" t="s">
        <v>31</v>
      </c>
      <c r="E165" s="179">
        <f>E157-1</f>
        <v>20</v>
      </c>
      <c r="F165" s="179">
        <f>F157-1</f>
        <v>20</v>
      </c>
      <c r="G165" s="179">
        <f>G157-1</f>
        <v>17</v>
      </c>
      <c r="H165" s="179">
        <f>H157-1</f>
        <v>45</v>
      </c>
      <c r="I165" s="179">
        <f>I157-1</f>
        <v>45</v>
      </c>
      <c r="J165" s="179"/>
      <c r="K165" s="179">
        <f t="shared" ref="K165:T165" si="110">K157-1</f>
        <v>45</v>
      </c>
      <c r="L165" s="179">
        <f t="shared" si="110"/>
        <v>45</v>
      </c>
      <c r="M165" s="179">
        <f t="shared" si="110"/>
        <v>45</v>
      </c>
      <c r="N165" s="179">
        <f t="shared" si="110"/>
        <v>45</v>
      </c>
      <c r="O165" s="179">
        <f t="shared" si="110"/>
        <v>45</v>
      </c>
      <c r="P165" s="179">
        <f t="shared" si="110"/>
        <v>45</v>
      </c>
      <c r="Q165" s="179">
        <f t="shared" si="110"/>
        <v>45</v>
      </c>
      <c r="R165" s="179">
        <f t="shared" si="110"/>
        <v>45</v>
      </c>
      <c r="S165" s="179">
        <f t="shared" si="110"/>
        <v>45</v>
      </c>
      <c r="T165" s="179">
        <f t="shared" si="110"/>
        <v>45</v>
      </c>
    </row>
    <row r="166" spans="2:20">
      <c r="B166" s="6"/>
      <c r="C166" s="139" t="s">
        <v>242</v>
      </c>
      <c r="D166" s="80" t="s">
        <v>29</v>
      </c>
      <c r="E166" s="84">
        <v>0.14000000000000001</v>
      </c>
      <c r="F166" s="179">
        <f>F167*(3.14159*F165/2*F165/2)/1000</f>
        <v>0.14011491400000001</v>
      </c>
      <c r="G166" s="179">
        <f>G167*(3.14159*G165/2*G165/2)/1000</f>
        <v>0.10123302536499999</v>
      </c>
      <c r="H166" s="179">
        <f>H167*(3.14159*H165/2*H165/2)/1000</f>
        <v>0.70933175212499999</v>
      </c>
      <c r="I166" s="179">
        <f>I167*(3.14159*I165/2*I165/2)/1000</f>
        <v>0.70933175212499999</v>
      </c>
      <c r="J166" s="179"/>
      <c r="K166" s="179">
        <f t="shared" ref="K166:T166" si="111">K167*(3.14159*K165/2*K165/2)/1000</f>
        <v>0.70933175212499999</v>
      </c>
      <c r="L166" s="179">
        <f t="shared" si="111"/>
        <v>0.70933175212499999</v>
      </c>
      <c r="M166" s="179">
        <f t="shared" si="111"/>
        <v>0.70933175212499999</v>
      </c>
      <c r="N166" s="179">
        <f t="shared" si="111"/>
        <v>0.70933175212499999</v>
      </c>
      <c r="O166" s="179">
        <f t="shared" si="111"/>
        <v>0.70933175212499999</v>
      </c>
      <c r="P166" s="179">
        <f t="shared" si="111"/>
        <v>0.70933175212499999</v>
      </c>
      <c r="Q166" s="179">
        <f t="shared" si="111"/>
        <v>0.70933175212499999</v>
      </c>
      <c r="R166" s="179">
        <f t="shared" si="111"/>
        <v>0.70933175212499999</v>
      </c>
      <c r="S166" s="179">
        <f t="shared" si="111"/>
        <v>0.70933175212499999</v>
      </c>
      <c r="T166" s="179">
        <f t="shared" si="111"/>
        <v>0.70933175212499999</v>
      </c>
    </row>
    <row r="167" spans="2:20">
      <c r="B167" s="6"/>
      <c r="C167" s="139" t="s">
        <v>243</v>
      </c>
      <c r="D167" s="80" t="s">
        <v>30</v>
      </c>
      <c r="E167" s="179">
        <f>E166*1000/(3.14159*E165/2*E165/2)</f>
        <v>0.44563421706842715</v>
      </c>
      <c r="F167" s="84">
        <v>0.44600000000000001</v>
      </c>
      <c r="G167" s="84">
        <v>0.44600000000000001</v>
      </c>
      <c r="H167" s="84">
        <v>0.44600000000000001</v>
      </c>
      <c r="I167" s="84">
        <v>0.44600000000000001</v>
      </c>
      <c r="J167" s="179"/>
      <c r="K167" s="84">
        <v>0.44600000000000001</v>
      </c>
      <c r="L167" s="84">
        <v>0.44600000000000001</v>
      </c>
      <c r="M167" s="84">
        <v>0.44600000000000001</v>
      </c>
      <c r="N167" s="84">
        <v>0.44600000000000001</v>
      </c>
      <c r="O167" s="84">
        <v>0.44600000000000001</v>
      </c>
      <c r="P167" s="84">
        <v>0.44600000000000001</v>
      </c>
      <c r="Q167" s="84">
        <v>0.44600000000000001</v>
      </c>
      <c r="R167" s="84">
        <v>0.44600000000000001</v>
      </c>
      <c r="S167" s="84">
        <v>0.44600000000000001</v>
      </c>
      <c r="T167" s="84">
        <v>0.44600000000000001</v>
      </c>
    </row>
    <row r="168" spans="2:20">
      <c r="B168" s="6"/>
      <c r="C168" s="139" t="s">
        <v>244</v>
      </c>
      <c r="D168" s="80" t="s">
        <v>31</v>
      </c>
      <c r="E168" s="179">
        <f>E157-1</f>
        <v>20</v>
      </c>
      <c r="F168" s="179">
        <f>F157-1</f>
        <v>20</v>
      </c>
      <c r="G168" s="179">
        <f>G157-1</f>
        <v>17</v>
      </c>
      <c r="H168" s="179">
        <f>H157-1</f>
        <v>45</v>
      </c>
      <c r="I168" s="179">
        <v>0</v>
      </c>
      <c r="J168" s="179"/>
      <c r="K168" s="179">
        <v>0</v>
      </c>
      <c r="L168" s="179">
        <v>0</v>
      </c>
      <c r="M168" s="179">
        <v>0</v>
      </c>
      <c r="N168" s="179">
        <v>0</v>
      </c>
      <c r="O168" s="179">
        <v>0</v>
      </c>
      <c r="P168" s="179">
        <v>0</v>
      </c>
      <c r="Q168" s="179">
        <v>0</v>
      </c>
      <c r="R168" s="179">
        <v>0</v>
      </c>
      <c r="S168" s="179">
        <v>0</v>
      </c>
      <c r="T168" s="179">
        <v>0</v>
      </c>
    </row>
    <row r="169" spans="2:20">
      <c r="B169" s="6"/>
      <c r="C169" s="139" t="s">
        <v>245</v>
      </c>
      <c r="D169" s="80" t="s">
        <v>29</v>
      </c>
      <c r="E169" s="84">
        <v>0.05</v>
      </c>
      <c r="F169" s="179">
        <f>F170*(3.14159*F168/2*F168/2)/1000</f>
        <v>4.9951281E-2</v>
      </c>
      <c r="G169" s="179">
        <f>G170*(3.14159*G168/2*G168/2)/1000</f>
        <v>3.60898005225E-2</v>
      </c>
      <c r="H169" s="179">
        <f>H170*(3.14159*H168/2*H168/2)/1000</f>
        <v>0.25287836006249997</v>
      </c>
      <c r="I169" s="179">
        <f>I170*(3.14159*I168/2*I168/2)/1000</f>
        <v>0</v>
      </c>
      <c r="J169" s="179"/>
      <c r="K169" s="179">
        <f t="shared" ref="K169:T169" si="112">K170*(3.14159*K168/2*K168/2)/1000</f>
        <v>0</v>
      </c>
      <c r="L169" s="179">
        <f t="shared" si="112"/>
        <v>0</v>
      </c>
      <c r="M169" s="179">
        <f t="shared" si="112"/>
        <v>0</v>
      </c>
      <c r="N169" s="179">
        <f t="shared" si="112"/>
        <v>0</v>
      </c>
      <c r="O169" s="179">
        <f t="shared" si="112"/>
        <v>0</v>
      </c>
      <c r="P169" s="179">
        <f t="shared" si="112"/>
        <v>0</v>
      </c>
      <c r="Q169" s="179">
        <f t="shared" si="112"/>
        <v>0</v>
      </c>
      <c r="R169" s="179">
        <f t="shared" si="112"/>
        <v>0</v>
      </c>
      <c r="S169" s="179">
        <f t="shared" si="112"/>
        <v>0</v>
      </c>
      <c r="T169" s="179">
        <f t="shared" si="112"/>
        <v>0</v>
      </c>
    </row>
    <row r="170" spans="2:20">
      <c r="B170" s="6"/>
      <c r="C170" s="139" t="s">
        <v>246</v>
      </c>
      <c r="D170" s="80"/>
      <c r="E170" s="179">
        <f>E169*1000/(3.14159*E168/2*E168/2)</f>
        <v>0.15915507752443828</v>
      </c>
      <c r="F170" s="84">
        <v>0.159</v>
      </c>
      <c r="G170" s="84">
        <v>0.159</v>
      </c>
      <c r="H170" s="84">
        <v>0.159</v>
      </c>
      <c r="I170" s="84">
        <v>0.159</v>
      </c>
      <c r="J170" s="179"/>
      <c r="K170" s="84">
        <v>0.159</v>
      </c>
      <c r="L170" s="84">
        <v>0.159</v>
      </c>
      <c r="M170" s="84">
        <v>0.159</v>
      </c>
      <c r="N170" s="84">
        <v>0.159</v>
      </c>
      <c r="O170" s="84">
        <v>0.159</v>
      </c>
      <c r="P170" s="84">
        <v>0.159</v>
      </c>
      <c r="Q170" s="84">
        <v>0.159</v>
      </c>
      <c r="R170" s="84">
        <v>0.159</v>
      </c>
      <c r="S170" s="84">
        <v>0.159</v>
      </c>
      <c r="T170" s="84">
        <v>0.159</v>
      </c>
    </row>
    <row r="171" spans="2:20">
      <c r="B171" s="6"/>
      <c r="C171" s="302" t="s">
        <v>279</v>
      </c>
      <c r="D171" s="80" t="s">
        <v>155</v>
      </c>
      <c r="E171" s="84">
        <v>165</v>
      </c>
      <c r="F171" s="84">
        <v>165</v>
      </c>
      <c r="G171" s="84">
        <v>165</v>
      </c>
      <c r="H171" s="84">
        <v>165</v>
      </c>
      <c r="I171" s="84">
        <v>165</v>
      </c>
      <c r="J171" s="179"/>
      <c r="K171" s="84">
        <v>165</v>
      </c>
      <c r="L171" s="84">
        <v>165</v>
      </c>
      <c r="M171" s="84">
        <v>165</v>
      </c>
      <c r="N171" s="84">
        <v>165</v>
      </c>
      <c r="O171" s="84">
        <v>165</v>
      </c>
      <c r="P171" s="84">
        <v>165</v>
      </c>
      <c r="Q171" s="84">
        <v>165</v>
      </c>
      <c r="R171" s="84">
        <v>165</v>
      </c>
      <c r="S171" s="84">
        <v>165</v>
      </c>
      <c r="T171" s="84">
        <v>165</v>
      </c>
    </row>
    <row r="172" spans="2:20">
      <c r="B172" s="6"/>
      <c r="C172" s="302" t="s">
        <v>280</v>
      </c>
      <c r="D172" s="80" t="s">
        <v>31</v>
      </c>
      <c r="E172" s="84">
        <v>76</v>
      </c>
      <c r="F172" s="179">
        <f>F40+F105+F106+9</f>
        <v>76</v>
      </c>
      <c r="G172" s="179">
        <f>G40+G105+G106+9</f>
        <v>71</v>
      </c>
      <c r="H172" s="179">
        <f>H40+H105+H106+9</f>
        <v>86</v>
      </c>
      <c r="I172" s="179">
        <f>I165</f>
        <v>45</v>
      </c>
      <c r="J172" s="179"/>
      <c r="K172" s="179">
        <f t="shared" ref="K172:T172" si="113">K165</f>
        <v>45</v>
      </c>
      <c r="L172" s="179">
        <f t="shared" si="113"/>
        <v>45</v>
      </c>
      <c r="M172" s="179">
        <f t="shared" si="113"/>
        <v>45</v>
      </c>
      <c r="N172" s="179">
        <f t="shared" si="113"/>
        <v>45</v>
      </c>
      <c r="O172" s="179">
        <f t="shared" si="113"/>
        <v>45</v>
      </c>
      <c r="P172" s="179">
        <f t="shared" si="113"/>
        <v>45</v>
      </c>
      <c r="Q172" s="179">
        <f t="shared" si="113"/>
        <v>45</v>
      </c>
      <c r="R172" s="179">
        <f t="shared" si="113"/>
        <v>45</v>
      </c>
      <c r="S172" s="179">
        <f t="shared" si="113"/>
        <v>45</v>
      </c>
      <c r="T172" s="179">
        <f t="shared" si="113"/>
        <v>45</v>
      </c>
    </row>
    <row r="173" spans="2:20">
      <c r="B173" s="6"/>
      <c r="C173" s="139" t="s">
        <v>132</v>
      </c>
      <c r="D173" s="80" t="s">
        <v>11</v>
      </c>
      <c r="E173" s="84">
        <v>3.5</v>
      </c>
      <c r="F173" s="192">
        <f>F4/1000*F14*F47/1000*F40/10*F41/10/F199/(F171/1000)</f>
        <v>3.5234716634550018</v>
      </c>
      <c r="G173" s="192">
        <f>G4/1000*G14*G47/1000*G40/10*G41/10/G199/(G171/1000)</f>
        <v>2.350446985216224</v>
      </c>
      <c r="H173" s="192">
        <f>H4/1000*H14*H47/1000*H40/10*H41/10/H199/(H171/1000)</f>
        <v>20.393762151407703</v>
      </c>
      <c r="I173" s="192">
        <v>0</v>
      </c>
      <c r="J173" s="192"/>
      <c r="K173" s="192">
        <v>0</v>
      </c>
      <c r="L173" s="192">
        <v>0</v>
      </c>
      <c r="M173" s="192">
        <v>0</v>
      </c>
      <c r="N173" s="192">
        <v>0</v>
      </c>
      <c r="O173" s="192">
        <v>0</v>
      </c>
      <c r="P173" s="192">
        <v>0</v>
      </c>
      <c r="Q173" s="192">
        <v>0</v>
      </c>
      <c r="R173" s="192">
        <v>0</v>
      </c>
      <c r="S173" s="192">
        <v>0</v>
      </c>
      <c r="T173" s="192">
        <v>0</v>
      </c>
    </row>
    <row r="174" spans="2:20">
      <c r="B174" s="6"/>
      <c r="C174" s="139" t="s">
        <v>247</v>
      </c>
      <c r="D174" s="80" t="s">
        <v>163</v>
      </c>
      <c r="E174" s="179">
        <f>E175/(E172/10*E173/10*E171/10000)</f>
        <v>2.5244930508088403</v>
      </c>
      <c r="F174" s="140">
        <v>2.524</v>
      </c>
      <c r="G174" s="140">
        <v>2.524</v>
      </c>
      <c r="H174" s="140">
        <v>2.524</v>
      </c>
      <c r="I174" s="140">
        <v>2.524</v>
      </c>
      <c r="J174" s="181"/>
      <c r="K174" s="140">
        <v>2.524</v>
      </c>
      <c r="L174" s="140">
        <v>2.524</v>
      </c>
      <c r="M174" s="140">
        <v>2.524</v>
      </c>
      <c r="N174" s="140">
        <v>2.524</v>
      </c>
      <c r="O174" s="140">
        <v>2.524</v>
      </c>
      <c r="P174" s="140">
        <v>2.524</v>
      </c>
      <c r="Q174" s="140">
        <v>2.524</v>
      </c>
      <c r="R174" s="140">
        <v>2.524</v>
      </c>
      <c r="S174" s="140">
        <v>2.524</v>
      </c>
      <c r="T174" s="140">
        <v>2.524</v>
      </c>
    </row>
    <row r="175" spans="2:20">
      <c r="B175" s="6"/>
      <c r="C175" s="139" t="s">
        <v>133</v>
      </c>
      <c r="D175" s="80" t="s">
        <v>15</v>
      </c>
      <c r="E175" s="141">
        <v>0.1108</v>
      </c>
      <c r="F175" s="189">
        <f>F174*(F172/10*F173/10*F171/10000)</f>
        <v>0.11152126068114773</v>
      </c>
      <c r="G175" s="189">
        <f>G174*(G172/10*G173/10*G171/10000)</f>
        <v>6.9499567753883551E-2</v>
      </c>
      <c r="H175" s="189">
        <f>H174*(H172/10*H173/10*H171/10000)</f>
        <v>0.73041401195947175</v>
      </c>
      <c r="I175" s="189">
        <f>I174*PI()*(I172/10/2)^2*I171/10000</f>
        <v>0.66235101123521511</v>
      </c>
      <c r="J175" s="189"/>
      <c r="K175" s="189">
        <f t="shared" ref="K175:T175" si="114">K174*PI()*(K172/10/2)^2*K171/10000</f>
        <v>0.66235101123521511</v>
      </c>
      <c r="L175" s="189">
        <f t="shared" si="114"/>
        <v>0.66235101123521511</v>
      </c>
      <c r="M175" s="189">
        <f t="shared" si="114"/>
        <v>0.66235101123521511</v>
      </c>
      <c r="N175" s="189">
        <f t="shared" si="114"/>
        <v>0.66235101123521511</v>
      </c>
      <c r="O175" s="189">
        <f t="shared" si="114"/>
        <v>0.66235101123521511</v>
      </c>
      <c r="P175" s="189">
        <f t="shared" si="114"/>
        <v>0.66235101123521511</v>
      </c>
      <c r="Q175" s="189">
        <f t="shared" si="114"/>
        <v>0.66235101123521511</v>
      </c>
      <c r="R175" s="189">
        <f t="shared" si="114"/>
        <v>0.66235101123521511</v>
      </c>
      <c r="S175" s="189">
        <f t="shared" si="114"/>
        <v>0.66235101123521511</v>
      </c>
      <c r="T175" s="189">
        <f t="shared" si="114"/>
        <v>0.66235101123521511</v>
      </c>
    </row>
    <row r="176" spans="2:20">
      <c r="B176" s="6"/>
      <c r="C176" s="302" t="s">
        <v>281</v>
      </c>
      <c r="D176" s="80" t="s">
        <v>155</v>
      </c>
      <c r="E176" s="84">
        <v>115</v>
      </c>
      <c r="F176" s="84">
        <v>115</v>
      </c>
      <c r="G176" s="84">
        <v>115</v>
      </c>
      <c r="H176" s="84">
        <v>115</v>
      </c>
      <c r="I176" s="84">
        <v>115</v>
      </c>
      <c r="J176" s="179"/>
      <c r="K176" s="84">
        <v>115</v>
      </c>
      <c r="L176" s="84">
        <v>115</v>
      </c>
      <c r="M176" s="84">
        <v>115</v>
      </c>
      <c r="N176" s="84">
        <v>115</v>
      </c>
      <c r="O176" s="84">
        <v>115</v>
      </c>
      <c r="P176" s="84">
        <v>115</v>
      </c>
      <c r="Q176" s="84">
        <v>115</v>
      </c>
      <c r="R176" s="84">
        <v>115</v>
      </c>
      <c r="S176" s="84">
        <v>115</v>
      </c>
      <c r="T176" s="84">
        <v>115</v>
      </c>
    </row>
    <row r="177" spans="2:20">
      <c r="B177" s="6"/>
      <c r="C177" s="302" t="s">
        <v>282</v>
      </c>
      <c r="D177" s="80" t="s">
        <v>31</v>
      </c>
      <c r="E177" s="84">
        <v>70</v>
      </c>
      <c r="F177" s="179">
        <f>F69+F106+3</f>
        <v>70</v>
      </c>
      <c r="G177" s="179">
        <f>G69+G106+3</f>
        <v>65</v>
      </c>
      <c r="H177" s="179">
        <f>H69+H106+3</f>
        <v>80</v>
      </c>
      <c r="I177" s="179">
        <f>I165</f>
        <v>45</v>
      </c>
      <c r="J177" s="179"/>
      <c r="K177" s="179">
        <f t="shared" ref="K177:T177" si="115">K165</f>
        <v>45</v>
      </c>
      <c r="L177" s="179">
        <f t="shared" si="115"/>
        <v>45</v>
      </c>
      <c r="M177" s="179">
        <f t="shared" si="115"/>
        <v>45</v>
      </c>
      <c r="N177" s="179">
        <f t="shared" si="115"/>
        <v>45</v>
      </c>
      <c r="O177" s="179">
        <f t="shared" si="115"/>
        <v>45</v>
      </c>
      <c r="P177" s="179">
        <f t="shared" si="115"/>
        <v>45</v>
      </c>
      <c r="Q177" s="179">
        <f t="shared" si="115"/>
        <v>45</v>
      </c>
      <c r="R177" s="179">
        <f t="shared" si="115"/>
        <v>45</v>
      </c>
      <c r="S177" s="179">
        <f t="shared" si="115"/>
        <v>45</v>
      </c>
      <c r="T177" s="179">
        <f t="shared" si="115"/>
        <v>45</v>
      </c>
    </row>
    <row r="178" spans="2:20">
      <c r="B178" s="6"/>
      <c r="C178" s="139" t="s">
        <v>134</v>
      </c>
      <c r="D178" s="80" t="s">
        <v>11</v>
      </c>
      <c r="E178" s="84">
        <v>3</v>
      </c>
      <c r="F178" s="179">
        <f>F4/1000*F14*F47/1000*F40/10*F41/10/F198/(F176/1000)</f>
        <v>3.0197440758693657</v>
      </c>
      <c r="G178" s="179">
        <f>G4/1000*G14*G47/1000*G40/10*G41/10/G198/(G176/1000)</f>
        <v>2.0144190267992346</v>
      </c>
      <c r="H178" s="179">
        <f>H4/1000*H14*H47/1000*H40/10*H41/10/H198/(H176/1000)</f>
        <v>17.478200003747183</v>
      </c>
      <c r="I178" s="179">
        <v>0</v>
      </c>
      <c r="J178" s="179"/>
      <c r="K178" s="179">
        <v>0</v>
      </c>
      <c r="L178" s="179">
        <v>0</v>
      </c>
      <c r="M178" s="179">
        <v>0</v>
      </c>
      <c r="N178" s="179">
        <v>0</v>
      </c>
      <c r="O178" s="179">
        <v>0</v>
      </c>
      <c r="P178" s="179">
        <v>0</v>
      </c>
      <c r="Q178" s="179">
        <v>0</v>
      </c>
      <c r="R178" s="179">
        <v>0</v>
      </c>
      <c r="S178" s="179">
        <v>0</v>
      </c>
      <c r="T178" s="179">
        <v>0</v>
      </c>
    </row>
    <row r="179" spans="2:20">
      <c r="B179" s="6"/>
      <c r="C179" s="139" t="s">
        <v>248</v>
      </c>
      <c r="D179" s="80" t="s">
        <v>16</v>
      </c>
      <c r="E179" s="179">
        <f>E180/(E177/10*E178/10*E176/10000)</f>
        <v>7.2712215320910971</v>
      </c>
      <c r="F179" s="140">
        <v>7.2709999999999999</v>
      </c>
      <c r="G179" s="140">
        <v>7.2709999999999999</v>
      </c>
      <c r="H179" s="140">
        <v>7.2709999999999999</v>
      </c>
      <c r="I179" s="140">
        <v>7.2709999999999999</v>
      </c>
      <c r="J179" s="181"/>
      <c r="K179" s="140">
        <v>7.2709999999999999</v>
      </c>
      <c r="L179" s="140">
        <v>7.2709999999999999</v>
      </c>
      <c r="M179" s="140">
        <v>7.2709999999999999</v>
      </c>
      <c r="N179" s="140">
        <v>7.2709999999999999</v>
      </c>
      <c r="O179" s="140">
        <v>7.2709999999999999</v>
      </c>
      <c r="P179" s="140">
        <v>7.2709999999999999</v>
      </c>
      <c r="Q179" s="140">
        <v>7.2709999999999999</v>
      </c>
      <c r="R179" s="140">
        <v>7.2709999999999999</v>
      </c>
      <c r="S179" s="140">
        <v>7.2709999999999999</v>
      </c>
      <c r="T179" s="140">
        <v>7.2709999999999999</v>
      </c>
    </row>
    <row r="180" spans="2:20">
      <c r="B180" s="6"/>
      <c r="C180" s="139" t="s">
        <v>135</v>
      </c>
      <c r="D180" s="80" t="s">
        <v>15</v>
      </c>
      <c r="E180" s="141">
        <v>0.17560000000000001</v>
      </c>
      <c r="F180" s="189">
        <f>F179*(F177/10*F178/10*F176/10000)</f>
        <v>0.17675030136395156</v>
      </c>
      <c r="G180" s="189">
        <f>G179*(G177/10*G178/10*G176/10000)</f>
        <v>0.10948513456033282</v>
      </c>
      <c r="H180" s="189">
        <f>H179*(H177/10*H178/10*H176/10000)</f>
        <v>1.169172728490661</v>
      </c>
      <c r="I180" s="189">
        <f>I179*PI()*(I177/10/2)^2*(I176/10000)</f>
        <v>1.3298629719768853</v>
      </c>
      <c r="J180" s="189"/>
      <c r="K180" s="189">
        <f t="shared" ref="K180:T180" si="116">K179*PI()*(K177/10/2)^2*(K176/10000)</f>
        <v>1.3298629719768853</v>
      </c>
      <c r="L180" s="189">
        <f t="shared" si="116"/>
        <v>1.3298629719768853</v>
      </c>
      <c r="M180" s="189">
        <f t="shared" si="116"/>
        <v>1.3298629719768853</v>
      </c>
      <c r="N180" s="189">
        <f t="shared" si="116"/>
        <v>1.3298629719768853</v>
      </c>
      <c r="O180" s="189">
        <f t="shared" si="116"/>
        <v>1.3298629719768853</v>
      </c>
      <c r="P180" s="189">
        <f t="shared" si="116"/>
        <v>1.3298629719768853</v>
      </c>
      <c r="Q180" s="189">
        <f t="shared" si="116"/>
        <v>1.3298629719768853</v>
      </c>
      <c r="R180" s="189">
        <f t="shared" si="116"/>
        <v>1.3298629719768853</v>
      </c>
      <c r="S180" s="189">
        <f t="shared" si="116"/>
        <v>1.3298629719768853</v>
      </c>
      <c r="T180" s="189">
        <f t="shared" si="116"/>
        <v>1.3298629719768853</v>
      </c>
    </row>
    <row r="181" spans="2:20">
      <c r="B181" s="6"/>
      <c r="C181" s="139" t="s">
        <v>129</v>
      </c>
      <c r="D181" s="80" t="s">
        <v>11</v>
      </c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</row>
    <row r="182" spans="2:20">
      <c r="B182" s="6"/>
      <c r="C182" s="139" t="s">
        <v>130</v>
      </c>
      <c r="D182" s="80" t="s">
        <v>11</v>
      </c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</row>
    <row r="183" spans="2:20">
      <c r="B183" s="6"/>
      <c r="C183" s="139" t="s">
        <v>131</v>
      </c>
      <c r="D183" s="80" t="s">
        <v>15</v>
      </c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</row>
    <row r="184" spans="2:20">
      <c r="B184" s="6"/>
      <c r="C184" s="139" t="s">
        <v>249</v>
      </c>
      <c r="D184" s="80" t="s">
        <v>31</v>
      </c>
      <c r="E184" s="140">
        <v>0.9</v>
      </c>
      <c r="F184" s="140">
        <v>0.9</v>
      </c>
      <c r="G184" s="140">
        <v>0.9</v>
      </c>
      <c r="H184" s="140">
        <v>0.9</v>
      </c>
      <c r="I184" s="140">
        <v>1.9</v>
      </c>
      <c r="J184" s="181"/>
      <c r="K184" s="140">
        <v>1.9</v>
      </c>
      <c r="L184" s="140">
        <v>1.9</v>
      </c>
      <c r="M184" s="140">
        <v>1.9</v>
      </c>
      <c r="N184" s="140">
        <v>1.9</v>
      </c>
      <c r="O184" s="140">
        <v>1.9</v>
      </c>
      <c r="P184" s="140">
        <v>1.9</v>
      </c>
      <c r="Q184" s="140">
        <v>1.9</v>
      </c>
      <c r="R184" s="140">
        <v>1.9</v>
      </c>
      <c r="S184" s="140">
        <v>1.9</v>
      </c>
      <c r="T184" s="140">
        <v>1.9</v>
      </c>
    </row>
    <row r="185" spans="2:20">
      <c r="B185" s="6"/>
      <c r="C185" s="139" t="s">
        <v>250</v>
      </c>
      <c r="D185" s="80" t="s">
        <v>15</v>
      </c>
      <c r="E185" s="140">
        <v>0.87760000000000005</v>
      </c>
      <c r="F185" s="193">
        <f>F186*(3.14159*F157/2*F157/2)/1000</f>
        <v>0.87767699386499998</v>
      </c>
      <c r="G185" s="193">
        <f>G186*(3.14159*G157/2*G157/2)/1000</f>
        <v>0.64482391385999993</v>
      </c>
      <c r="H185" s="193">
        <f>H186*(3.14159*H157/2*H157/2)/1000</f>
        <v>4.2112574127399993</v>
      </c>
      <c r="I185" s="193">
        <f>I186*(3.14159*I157/2*I157/2)/1000</f>
        <v>4.2112574127399993</v>
      </c>
      <c r="J185" s="193"/>
      <c r="K185" s="193">
        <f t="shared" ref="K185:T185" si="117">K186*(3.14159*K157/2*K157/2)/1000</f>
        <v>4.2112574127399993</v>
      </c>
      <c r="L185" s="193">
        <f t="shared" si="117"/>
        <v>4.2112574127399993</v>
      </c>
      <c r="M185" s="193">
        <f t="shared" si="117"/>
        <v>4.2112574127399993</v>
      </c>
      <c r="N185" s="193">
        <f t="shared" si="117"/>
        <v>4.2112574127399993</v>
      </c>
      <c r="O185" s="193">
        <f t="shared" si="117"/>
        <v>4.2112574127399993</v>
      </c>
      <c r="P185" s="193">
        <f t="shared" si="117"/>
        <v>4.2112574127399993</v>
      </c>
      <c r="Q185" s="193">
        <f t="shared" si="117"/>
        <v>4.2112574127399993</v>
      </c>
      <c r="R185" s="193">
        <f t="shared" si="117"/>
        <v>4.2112574127399993</v>
      </c>
      <c r="S185" s="193">
        <f t="shared" si="117"/>
        <v>4.2112574127399993</v>
      </c>
      <c r="T185" s="193">
        <f t="shared" si="117"/>
        <v>4.2112574127399993</v>
      </c>
    </row>
    <row r="186" spans="2:20">
      <c r="B186" s="6"/>
      <c r="C186" s="139" t="s">
        <v>251</v>
      </c>
      <c r="D186" s="80" t="s">
        <v>30</v>
      </c>
      <c r="E186" s="179">
        <f>E185*1000/(3.14159*E157/2*E157/2)</f>
        <v>2.5337777058584492</v>
      </c>
      <c r="F186" s="84">
        <v>2.5339999999999998</v>
      </c>
      <c r="G186" s="84">
        <v>2.5339999999999998</v>
      </c>
      <c r="H186" s="84">
        <v>2.5339999999999998</v>
      </c>
      <c r="I186" s="84">
        <v>2.5339999999999998</v>
      </c>
      <c r="J186" s="179"/>
      <c r="K186" s="84">
        <v>2.5339999999999998</v>
      </c>
      <c r="L186" s="84">
        <v>2.5339999999999998</v>
      </c>
      <c r="M186" s="84">
        <v>2.5339999999999998</v>
      </c>
      <c r="N186" s="84">
        <v>2.5339999999999998</v>
      </c>
      <c r="O186" s="84">
        <v>2.5339999999999998</v>
      </c>
      <c r="P186" s="84">
        <v>2.5339999999999998</v>
      </c>
      <c r="Q186" s="84">
        <v>2.5339999999999998</v>
      </c>
      <c r="R186" s="84">
        <v>2.5339999999999998</v>
      </c>
      <c r="S186" s="84">
        <v>2.5339999999999998</v>
      </c>
      <c r="T186" s="84">
        <v>2.5339999999999998</v>
      </c>
    </row>
    <row r="187" spans="2:20">
      <c r="B187" s="6"/>
      <c r="C187" s="139" t="s">
        <v>136</v>
      </c>
      <c r="D187" s="80" t="s">
        <v>11</v>
      </c>
      <c r="E187" s="183">
        <f>E158-E159-E184</f>
        <v>68.8</v>
      </c>
      <c r="F187" s="183">
        <f>F158-F159-F184</f>
        <v>68.8</v>
      </c>
      <c r="G187" s="183">
        <f>G158-G159-G184</f>
        <v>63.800000000000004</v>
      </c>
      <c r="H187" s="183">
        <f>H158-H159-H184</f>
        <v>78.8</v>
      </c>
      <c r="I187" s="183">
        <f>I158-I159-I184</f>
        <v>77.8</v>
      </c>
      <c r="J187" s="290"/>
      <c r="K187" s="183">
        <f t="shared" ref="K187:T187" si="118">K158-K159-K184</f>
        <v>77.8</v>
      </c>
      <c r="L187" s="183">
        <f t="shared" si="118"/>
        <v>77.8</v>
      </c>
      <c r="M187" s="183">
        <f t="shared" si="118"/>
        <v>77.8</v>
      </c>
      <c r="N187" s="183">
        <f t="shared" si="118"/>
        <v>77.8</v>
      </c>
      <c r="O187" s="183">
        <f t="shared" si="118"/>
        <v>77.8</v>
      </c>
      <c r="P187" s="183">
        <f t="shared" si="118"/>
        <v>77.8</v>
      </c>
      <c r="Q187" s="183">
        <f t="shared" si="118"/>
        <v>77.8</v>
      </c>
      <c r="R187" s="183">
        <f t="shared" si="118"/>
        <v>77.8</v>
      </c>
      <c r="S187" s="183">
        <f t="shared" si="118"/>
        <v>77.8</v>
      </c>
      <c r="T187" s="183">
        <f t="shared" si="118"/>
        <v>77.8</v>
      </c>
    </row>
    <row r="188" spans="2:20" ht="16" thickBot="1">
      <c r="B188" s="6"/>
      <c r="C188" s="139" t="s">
        <v>252</v>
      </c>
      <c r="D188" s="80" t="s">
        <v>11</v>
      </c>
      <c r="E188" s="140">
        <f>E157-E159*2</f>
        <v>20.399999999999999</v>
      </c>
      <c r="F188" s="140">
        <f>F157-F159*2</f>
        <v>20.399999999999999</v>
      </c>
      <c r="G188" s="140">
        <f>G157-G159*2</f>
        <v>17.399999999999999</v>
      </c>
      <c r="H188" s="140">
        <f>H157-H159*2</f>
        <v>45.4</v>
      </c>
      <c r="I188" s="140">
        <f>I157-I159*2</f>
        <v>45.4</v>
      </c>
      <c r="J188" s="181"/>
      <c r="K188" s="140">
        <f t="shared" ref="K188:T188" si="119">K157-K159*2</f>
        <v>45.4</v>
      </c>
      <c r="L188" s="140">
        <f t="shared" si="119"/>
        <v>45.4</v>
      </c>
      <c r="M188" s="140">
        <f t="shared" si="119"/>
        <v>45.4</v>
      </c>
      <c r="N188" s="140">
        <f t="shared" si="119"/>
        <v>45.4</v>
      </c>
      <c r="O188" s="140">
        <f t="shared" si="119"/>
        <v>45.4</v>
      </c>
      <c r="P188" s="140">
        <f t="shared" si="119"/>
        <v>45.4</v>
      </c>
      <c r="Q188" s="140">
        <f t="shared" si="119"/>
        <v>45.4</v>
      </c>
      <c r="R188" s="140">
        <f t="shared" si="119"/>
        <v>45.4</v>
      </c>
      <c r="S188" s="140">
        <f t="shared" si="119"/>
        <v>45.4</v>
      </c>
      <c r="T188" s="140">
        <f t="shared" si="119"/>
        <v>45.4</v>
      </c>
    </row>
    <row r="189" spans="2:20">
      <c r="B189" s="54" t="s">
        <v>253</v>
      </c>
      <c r="C189" s="142" t="s">
        <v>137</v>
      </c>
      <c r="D189" s="143" t="s">
        <v>15</v>
      </c>
      <c r="E189" s="144">
        <f>E151+E162+E183+E175+E180+E185+E155+E166+E169</f>
        <v>68.648453649999993</v>
      </c>
      <c r="F189" s="144">
        <f>F151+F162+F183+F175+F180+F185+F155+F166+F169</f>
        <v>68.641466295453426</v>
      </c>
      <c r="G189" s="144">
        <f>G151+G162+G183+G175+G180+G185+G155+G166+G169</f>
        <v>47.532349146935132</v>
      </c>
      <c r="H189" s="144">
        <f>H151+H162+H183+H175+H180+H185+H155+H166+H169</f>
        <v>354.14363788409798</v>
      </c>
      <c r="I189" s="144">
        <f>I151+I162+I183+I175+I180+I185+I155+I166+I169+2</f>
        <v>355.23851752379323</v>
      </c>
      <c r="J189" s="168"/>
      <c r="K189" s="144">
        <f t="shared" ref="K189:T189" si="120">K151+K162+K183+K175+K180+K185+K155+K166+K169</f>
        <v>356.98635897384139</v>
      </c>
      <c r="L189" s="144">
        <f t="shared" si="120"/>
        <v>353.95793808802659</v>
      </c>
      <c r="M189" s="144">
        <f t="shared" si="120"/>
        <v>353.23851752379323</v>
      </c>
      <c r="N189" s="144">
        <f t="shared" si="120"/>
        <v>351.62226404612784</v>
      </c>
      <c r="O189" s="144">
        <f t="shared" si="120"/>
        <v>351.18543625593179</v>
      </c>
      <c r="P189" s="144">
        <f t="shared" si="120"/>
        <v>343.0141907740375</v>
      </c>
      <c r="Q189" s="144">
        <f t="shared" si="120"/>
        <v>346.44027747412457</v>
      </c>
      <c r="R189" s="144">
        <f t="shared" si="120"/>
        <v>349.62162501079086</v>
      </c>
      <c r="S189" s="144">
        <f t="shared" si="120"/>
        <v>352.58355177937023</v>
      </c>
      <c r="T189" s="144">
        <f t="shared" si="120"/>
        <v>353.9892057231973</v>
      </c>
    </row>
    <row r="190" spans="2:20">
      <c r="B190" s="67"/>
      <c r="C190" s="145" t="s">
        <v>138</v>
      </c>
      <c r="D190" s="110" t="s">
        <v>16</v>
      </c>
      <c r="E190" s="146">
        <f>E160</f>
        <v>24.245241304079226</v>
      </c>
      <c r="F190" s="146">
        <f>F160</f>
        <v>24.245241304079226</v>
      </c>
      <c r="G190" s="146">
        <f>G160</f>
        <v>16.54048532115026</v>
      </c>
      <c r="H190" s="146">
        <f>H160</f>
        <v>132.95220109992002</v>
      </c>
      <c r="I190" s="146">
        <f>I160</f>
        <v>132.95220109992002</v>
      </c>
      <c r="J190" s="291"/>
      <c r="K190" s="146">
        <f t="shared" ref="K190:T190" si="121">K160</f>
        <v>132.95220109992002</v>
      </c>
      <c r="L190" s="146">
        <f t="shared" si="121"/>
        <v>132.95220109992002</v>
      </c>
      <c r="M190" s="146">
        <f t="shared" si="121"/>
        <v>132.95220109992002</v>
      </c>
      <c r="N190" s="146">
        <f t="shared" si="121"/>
        <v>132.95220109992002</v>
      </c>
      <c r="O190" s="146">
        <f t="shared" si="121"/>
        <v>132.95220109992002</v>
      </c>
      <c r="P190" s="146">
        <f t="shared" si="121"/>
        <v>132.95220109992002</v>
      </c>
      <c r="Q190" s="146">
        <f t="shared" si="121"/>
        <v>132.95220109992002</v>
      </c>
      <c r="R190" s="146">
        <f t="shared" si="121"/>
        <v>132.95220109992002</v>
      </c>
      <c r="S190" s="146">
        <f t="shared" si="121"/>
        <v>132.95220109992002</v>
      </c>
      <c r="T190" s="146">
        <f t="shared" si="121"/>
        <v>132.95220109992002</v>
      </c>
    </row>
    <row r="191" spans="2:20">
      <c r="B191" s="58"/>
      <c r="C191" s="62" t="s">
        <v>139</v>
      </c>
      <c r="D191" s="110" t="s">
        <v>17</v>
      </c>
      <c r="E191" s="147"/>
      <c r="F191" s="147"/>
      <c r="G191" s="147">
        <v>5</v>
      </c>
      <c r="H191" s="147">
        <v>5</v>
      </c>
      <c r="I191" s="147"/>
      <c r="J191" s="292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</row>
    <row r="192" spans="2:20">
      <c r="B192" s="58"/>
      <c r="C192" s="62" t="s">
        <v>140</v>
      </c>
      <c r="D192" s="110" t="s">
        <v>16</v>
      </c>
      <c r="E192" s="148">
        <f t="shared" ref="E192:I192" si="122">E191*E194</f>
        <v>0</v>
      </c>
      <c r="F192" s="148">
        <f t="shared" si="122"/>
        <v>0</v>
      </c>
      <c r="G192" s="148">
        <f t="shared" si="122"/>
        <v>15.888719540672403</v>
      </c>
      <c r="H192" s="148">
        <f t="shared" si="122"/>
        <v>138.45089124784167</v>
      </c>
      <c r="I192" s="148">
        <f t="shared" si="122"/>
        <v>0</v>
      </c>
      <c r="J192" s="292"/>
      <c r="K192" s="148">
        <f t="shared" ref="K192:T192" si="123">K191*K194</f>
        <v>0</v>
      </c>
      <c r="L192" s="148">
        <f t="shared" si="123"/>
        <v>0</v>
      </c>
      <c r="M192" s="148">
        <f t="shared" si="123"/>
        <v>0</v>
      </c>
      <c r="N192" s="148">
        <f t="shared" si="123"/>
        <v>0</v>
      </c>
      <c r="O192" s="148">
        <f t="shared" si="123"/>
        <v>0</v>
      </c>
      <c r="P192" s="148">
        <f t="shared" si="123"/>
        <v>0</v>
      </c>
      <c r="Q192" s="148">
        <f t="shared" si="123"/>
        <v>0</v>
      </c>
      <c r="R192" s="148">
        <f t="shared" si="123"/>
        <v>0</v>
      </c>
      <c r="S192" s="148">
        <f t="shared" si="123"/>
        <v>0</v>
      </c>
      <c r="T192" s="148">
        <f t="shared" si="123"/>
        <v>0</v>
      </c>
    </row>
    <row r="193" spans="2:20">
      <c r="B193" s="58"/>
      <c r="C193" s="62" t="s">
        <v>141</v>
      </c>
      <c r="D193" s="110" t="s">
        <v>18</v>
      </c>
      <c r="E193" s="149">
        <v>3.65</v>
      </c>
      <c r="F193" s="149">
        <v>3.65</v>
      </c>
      <c r="G193" s="149">
        <v>3.65</v>
      </c>
      <c r="H193" s="149">
        <v>3.65</v>
      </c>
      <c r="I193" s="149">
        <v>3.65</v>
      </c>
      <c r="J193" s="293"/>
      <c r="K193" s="149">
        <v>3.65</v>
      </c>
      <c r="L193" s="149">
        <v>3.65</v>
      </c>
      <c r="M193" s="149">
        <v>3.65</v>
      </c>
      <c r="N193" s="149">
        <v>3.65</v>
      </c>
      <c r="O193" s="149">
        <v>3.65</v>
      </c>
      <c r="P193" s="149">
        <v>3.65</v>
      </c>
      <c r="Q193" s="149">
        <v>3.65</v>
      </c>
      <c r="R193" s="149">
        <v>3.65</v>
      </c>
      <c r="S193" s="149">
        <v>3.65</v>
      </c>
      <c r="T193" s="149">
        <v>3.65</v>
      </c>
    </row>
    <row r="194" spans="2:20">
      <c r="B194" s="58"/>
      <c r="C194" s="150" t="s">
        <v>142</v>
      </c>
      <c r="D194" s="151" t="s">
        <v>19</v>
      </c>
      <c r="E194" s="152">
        <f>E59*E4/1000</f>
        <v>4.7775353471999997</v>
      </c>
      <c r="F194" s="152">
        <f>F59*F4/1000</f>
        <v>4.7763269320409307</v>
      </c>
      <c r="G194" s="152">
        <f>G59*G4/1000</f>
        <v>3.1777439081344805</v>
      </c>
      <c r="H194" s="152">
        <f>H59*H4/1000</f>
        <v>27.690178249568334</v>
      </c>
      <c r="I194" s="152">
        <f>I59*I4/1000</f>
        <v>26.84976409192598</v>
      </c>
      <c r="J194" s="294"/>
      <c r="K194" s="152">
        <f t="shared" ref="K194:T194" si="124">K59*K4/1000</f>
        <v>24.355811621501648</v>
      </c>
      <c r="L194" s="152">
        <f t="shared" si="124"/>
        <v>26.339056475086647</v>
      </c>
      <c r="M194" s="152">
        <f t="shared" si="124"/>
        <v>26.84976409192598</v>
      </c>
      <c r="N194" s="152">
        <f t="shared" si="124"/>
        <v>28.174727557592842</v>
      </c>
      <c r="O194" s="152">
        <f t="shared" si="124"/>
        <v>28.674520717717243</v>
      </c>
      <c r="P194" s="152">
        <f t="shared" si="124"/>
        <v>25.548431883982861</v>
      </c>
      <c r="Q194" s="152">
        <f t="shared" si="124"/>
        <v>26.242156358981621</v>
      </c>
      <c r="R194" s="152">
        <f t="shared" si="124"/>
        <v>26.886322511033345</v>
      </c>
      <c r="S194" s="152">
        <f t="shared" si="124"/>
        <v>27.486057678069415</v>
      </c>
      <c r="T194" s="152">
        <f t="shared" si="124"/>
        <v>27.770675812719112</v>
      </c>
    </row>
    <row r="195" spans="2:20">
      <c r="B195" s="58"/>
      <c r="C195" s="145" t="s">
        <v>143</v>
      </c>
      <c r="D195" s="151" t="s">
        <v>20</v>
      </c>
      <c r="E195" s="153">
        <f>E193*E194</f>
        <v>17.438004017279997</v>
      </c>
      <c r="F195" s="153">
        <f>F193*F194</f>
        <v>17.433593301949397</v>
      </c>
      <c r="G195" s="153">
        <f>G193*G194</f>
        <v>11.598765264690854</v>
      </c>
      <c r="H195" s="153">
        <f>H193*H194</f>
        <v>101.06915061092441</v>
      </c>
      <c r="I195" s="153">
        <f>I193*I194</f>
        <v>98.001638935529826</v>
      </c>
      <c r="J195" s="295"/>
      <c r="K195" s="153">
        <f t="shared" ref="K195:T195" si="125">K193*K194</f>
        <v>88.898712418481011</v>
      </c>
      <c r="L195" s="153">
        <f t="shared" si="125"/>
        <v>96.137556134066259</v>
      </c>
      <c r="M195" s="153">
        <f t="shared" si="125"/>
        <v>98.001638935529826</v>
      </c>
      <c r="N195" s="153">
        <f t="shared" si="125"/>
        <v>102.83775558521387</v>
      </c>
      <c r="O195" s="153">
        <f t="shared" si="125"/>
        <v>104.66200061966794</v>
      </c>
      <c r="P195" s="153">
        <f t="shared" si="125"/>
        <v>93.251776376537435</v>
      </c>
      <c r="Q195" s="153">
        <f t="shared" si="125"/>
        <v>95.783870710282912</v>
      </c>
      <c r="R195" s="153">
        <f t="shared" si="125"/>
        <v>98.13507716527171</v>
      </c>
      <c r="S195" s="153">
        <f t="shared" si="125"/>
        <v>100.32411052495335</v>
      </c>
      <c r="T195" s="153">
        <f t="shared" si="125"/>
        <v>101.36296671642475</v>
      </c>
    </row>
    <row r="196" spans="2:20">
      <c r="B196" s="58"/>
      <c r="C196" s="154" t="s">
        <v>144</v>
      </c>
      <c r="D196" s="151" t="s">
        <v>21</v>
      </c>
      <c r="E196" s="153">
        <f>E195/E189*1000</f>
        <v>254.01889030431201</v>
      </c>
      <c r="F196" s="153">
        <f>F195/F189*1000</f>
        <v>253.98049084368319</v>
      </c>
      <c r="G196" s="153">
        <f>G195/G189*1000</f>
        <v>244.01834693328507</v>
      </c>
      <c r="H196" s="153">
        <f>H195/H189*1000</f>
        <v>285.39027614552748</v>
      </c>
      <c r="I196" s="153">
        <f>I195/I189*1000</f>
        <v>275.8755993540758</v>
      </c>
      <c r="J196" s="295"/>
      <c r="K196" s="153">
        <f t="shared" ref="K196:T196" si="126">K195/K189*1000</f>
        <v>249.02551647637375</v>
      </c>
      <c r="L196" s="153">
        <f t="shared" si="126"/>
        <v>271.6072894236309</v>
      </c>
      <c r="M196" s="153">
        <f t="shared" si="126"/>
        <v>277.43757850226143</v>
      </c>
      <c r="N196" s="153">
        <f t="shared" si="126"/>
        <v>292.46656455099509</v>
      </c>
      <c r="O196" s="153">
        <f t="shared" si="126"/>
        <v>298.02488888916764</v>
      </c>
      <c r="P196" s="153">
        <f t="shared" si="126"/>
        <v>271.85982062755988</v>
      </c>
      <c r="Q196" s="153">
        <f t="shared" si="126"/>
        <v>276.48018125559014</v>
      </c>
      <c r="R196" s="153">
        <f t="shared" si="126"/>
        <v>280.68938001830645</v>
      </c>
      <c r="S196" s="153">
        <f t="shared" si="126"/>
        <v>284.53996228312809</v>
      </c>
      <c r="T196" s="153">
        <f t="shared" si="126"/>
        <v>286.34479548420398</v>
      </c>
    </row>
    <row r="197" spans="2:20">
      <c r="B197" s="58"/>
      <c r="C197" s="145" t="s">
        <v>145</v>
      </c>
      <c r="D197" s="151" t="s">
        <v>22</v>
      </c>
      <c r="E197" s="153">
        <f>E195/E190*1000</f>
        <v>719.23408798352853</v>
      </c>
      <c r="F197" s="153">
        <f>F195/F190*1000</f>
        <v>719.05216711603612</v>
      </c>
      <c r="G197" s="153">
        <f>G195/G190*1000</f>
        <v>701.23488153395078</v>
      </c>
      <c r="H197" s="153">
        <f>H195/H190*1000</f>
        <v>760.19163108827388</v>
      </c>
      <c r="I197" s="153">
        <f>I195/I190*1000</f>
        <v>737.11934157356939</v>
      </c>
      <c r="J197" s="295"/>
      <c r="K197" s="153">
        <f t="shared" ref="K197:T197" si="127">K195/K190*1000</f>
        <v>668.65167844546863</v>
      </c>
      <c r="L197" s="153">
        <f t="shared" si="127"/>
        <v>723.09864250998169</v>
      </c>
      <c r="M197" s="153">
        <f t="shared" si="127"/>
        <v>737.11934157356939</v>
      </c>
      <c r="N197" s="153">
        <f t="shared" si="127"/>
        <v>773.49419366082043</v>
      </c>
      <c r="O197" s="153">
        <f t="shared" si="127"/>
        <v>787.21525295402489</v>
      </c>
      <c r="P197" s="153">
        <f t="shared" si="127"/>
        <v>701.39324964205912</v>
      </c>
      <c r="Q197" s="153">
        <f t="shared" si="127"/>
        <v>720.43839754331486</v>
      </c>
      <c r="R197" s="153">
        <f t="shared" si="127"/>
        <v>738.12299723807098</v>
      </c>
      <c r="S197" s="153">
        <f t="shared" si="127"/>
        <v>754.58781197277756</v>
      </c>
      <c r="T197" s="153">
        <f t="shared" si="127"/>
        <v>762.40156896872713</v>
      </c>
    </row>
    <row r="198" spans="2:20">
      <c r="B198" s="58"/>
      <c r="C198" s="62" t="s">
        <v>254</v>
      </c>
      <c r="D198" s="110" t="s">
        <v>164</v>
      </c>
      <c r="E198" s="190">
        <f>E194/(E176/1000)/(E178)</f>
        <v>13.847928542608694</v>
      </c>
      <c r="F198" s="190">
        <v>13.85</v>
      </c>
      <c r="G198" s="190">
        <v>13.85</v>
      </c>
      <c r="H198" s="190">
        <v>13.85</v>
      </c>
      <c r="I198" s="190">
        <v>13.85</v>
      </c>
      <c r="J198" s="291"/>
      <c r="K198" s="190">
        <v>13.85</v>
      </c>
      <c r="L198" s="190">
        <v>13.85</v>
      </c>
      <c r="M198" s="190">
        <v>13.85</v>
      </c>
      <c r="N198" s="190">
        <v>13.85</v>
      </c>
      <c r="O198" s="190">
        <v>13.85</v>
      </c>
      <c r="P198" s="190">
        <v>13.85</v>
      </c>
      <c r="Q198" s="190">
        <v>13.85</v>
      </c>
      <c r="R198" s="190">
        <v>13.85</v>
      </c>
      <c r="S198" s="190">
        <v>13.85</v>
      </c>
      <c r="T198" s="190">
        <v>13.85</v>
      </c>
    </row>
    <row r="199" spans="2:20">
      <c r="B199" s="58"/>
      <c r="C199" s="62" t="s">
        <v>255</v>
      </c>
      <c r="D199" s="110" t="s">
        <v>164</v>
      </c>
      <c r="E199" s="191">
        <f>E194/(E171/1000)/E173</f>
        <v>8.2727884799999991</v>
      </c>
      <c r="F199" s="191">
        <v>8.2729999999999997</v>
      </c>
      <c r="G199" s="191">
        <v>8.2729999999999997</v>
      </c>
      <c r="H199" s="191">
        <v>8.2729999999999997</v>
      </c>
      <c r="I199" s="191">
        <v>8.2729999999999997</v>
      </c>
      <c r="J199" s="291"/>
      <c r="K199" s="191">
        <v>8.2729999999999997</v>
      </c>
      <c r="L199" s="191">
        <v>8.2729999999999997</v>
      </c>
      <c r="M199" s="191">
        <v>8.2729999999999997</v>
      </c>
      <c r="N199" s="191">
        <v>8.2729999999999997</v>
      </c>
      <c r="O199" s="191">
        <v>8.2729999999999997</v>
      </c>
      <c r="P199" s="191">
        <v>8.2729999999999997</v>
      </c>
      <c r="Q199" s="191">
        <v>8.2729999999999997</v>
      </c>
      <c r="R199" s="191">
        <v>8.2729999999999997</v>
      </c>
      <c r="S199" s="191">
        <v>8.2729999999999997</v>
      </c>
      <c r="T199" s="191">
        <v>8.2729999999999997</v>
      </c>
    </row>
    <row r="200" spans="2:20">
      <c r="B200" s="58"/>
      <c r="C200" s="145" t="s">
        <v>256</v>
      </c>
      <c r="D200" s="110" t="s">
        <v>19</v>
      </c>
      <c r="E200" s="148">
        <f>E59*E6/1000</f>
        <v>5.1929732034782603</v>
      </c>
      <c r="F200" s="148">
        <f>F59*F6/1000</f>
        <v>5.1916597087401426</v>
      </c>
      <c r="G200" s="148">
        <f>G59*G6/1000</f>
        <v>3.4540694653635655</v>
      </c>
      <c r="H200" s="148">
        <f>H59*H6/1000</f>
        <v>30.098019836487317</v>
      </c>
      <c r="I200" s="148">
        <f>I59*I6/1000</f>
        <v>29.184526186876063</v>
      </c>
      <c r="J200" s="292"/>
      <c r="K200" s="148">
        <f t="shared" ref="K200:T200" si="128">K59*K6/1000</f>
        <v>26.473708284240921</v>
      </c>
      <c r="L200" s="148">
        <f t="shared" si="128"/>
        <v>28.6294092120507</v>
      </c>
      <c r="M200" s="148">
        <f t="shared" si="128"/>
        <v>29.184526186876063</v>
      </c>
      <c r="N200" s="148">
        <f t="shared" si="128"/>
        <v>30.624703866948746</v>
      </c>
      <c r="O200" s="148">
        <f t="shared" si="128"/>
        <v>31.167957301866565</v>
      </c>
      <c r="P200" s="148">
        <f t="shared" si="128"/>
        <v>27.770034656503107</v>
      </c>
      <c r="Q200" s="148">
        <f t="shared" si="128"/>
        <v>28.524082998893068</v>
      </c>
      <c r="R200" s="148">
        <f t="shared" si="128"/>
        <v>29.224263598949289</v>
      </c>
      <c r="S200" s="148">
        <f t="shared" si="128"/>
        <v>29.876149650075448</v>
      </c>
      <c r="T200" s="148">
        <f t="shared" si="128"/>
        <v>30.185517187738164</v>
      </c>
    </row>
    <row r="201" spans="2:20">
      <c r="B201" s="58"/>
      <c r="C201" s="306" t="s">
        <v>283</v>
      </c>
      <c r="D201" s="151" t="s">
        <v>19</v>
      </c>
      <c r="E201" s="156">
        <f>E59*E5/1000</f>
        <v>4.7775353471999997</v>
      </c>
      <c r="F201" s="156">
        <f>F59*F5/1000</f>
        <v>4.7763269320409307</v>
      </c>
      <c r="G201" s="156">
        <f>G59*G5/1000</f>
        <v>3.1777439081344805</v>
      </c>
      <c r="H201" s="156">
        <f>H59*H5/1000</f>
        <v>27.690178249568334</v>
      </c>
      <c r="I201" s="156">
        <f>I59*I5/1000</f>
        <v>26.84976409192598</v>
      </c>
      <c r="J201" s="292"/>
      <c r="K201" s="156">
        <f t="shared" ref="K201:T201" si="129">K59*K5/1000</f>
        <v>24.355811621501648</v>
      </c>
      <c r="L201" s="156">
        <f t="shared" si="129"/>
        <v>26.339056475086647</v>
      </c>
      <c r="M201" s="156">
        <f t="shared" si="129"/>
        <v>26.84976409192598</v>
      </c>
      <c r="N201" s="156">
        <f t="shared" si="129"/>
        <v>28.174727557592842</v>
      </c>
      <c r="O201" s="156">
        <f t="shared" si="129"/>
        <v>28.674520717717243</v>
      </c>
      <c r="P201" s="156">
        <f t="shared" si="129"/>
        <v>25.548431883982861</v>
      </c>
      <c r="Q201" s="156">
        <f t="shared" si="129"/>
        <v>26.242156358981621</v>
      </c>
      <c r="R201" s="156">
        <f t="shared" si="129"/>
        <v>26.886322511033345</v>
      </c>
      <c r="S201" s="156">
        <f t="shared" si="129"/>
        <v>27.486057678069415</v>
      </c>
      <c r="T201" s="156">
        <f t="shared" si="129"/>
        <v>27.770675812719112</v>
      </c>
    </row>
    <row r="202" spans="2:20">
      <c r="B202" s="58"/>
      <c r="C202" s="145" t="s">
        <v>146</v>
      </c>
      <c r="D202" s="110" t="s">
        <v>19</v>
      </c>
      <c r="E202" s="148">
        <f t="shared" ref="E202:I202" si="130">E200-E201</f>
        <v>0.41543785627826058</v>
      </c>
      <c r="F202" s="148">
        <f t="shared" si="130"/>
        <v>0.41533277669921187</v>
      </c>
      <c r="G202" s="148">
        <f t="shared" si="130"/>
        <v>0.27632555722908503</v>
      </c>
      <c r="H202" s="148">
        <f t="shared" si="130"/>
        <v>2.407841586918984</v>
      </c>
      <c r="I202" s="148">
        <f t="shared" si="130"/>
        <v>2.3347620949500829</v>
      </c>
      <c r="J202" s="292"/>
      <c r="K202" s="148">
        <f t="shared" ref="K202:T202" si="131">K200-K201</f>
        <v>2.1178966627392732</v>
      </c>
      <c r="L202" s="148">
        <f t="shared" si="131"/>
        <v>2.2903527369640528</v>
      </c>
      <c r="M202" s="148">
        <f t="shared" si="131"/>
        <v>2.3347620949500829</v>
      </c>
      <c r="N202" s="148">
        <f t="shared" si="131"/>
        <v>2.4499763093559039</v>
      </c>
      <c r="O202" s="148">
        <f t="shared" si="131"/>
        <v>2.4934365841493218</v>
      </c>
      <c r="P202" s="148">
        <f t="shared" si="131"/>
        <v>2.2216027725202458</v>
      </c>
      <c r="Q202" s="148">
        <f t="shared" si="131"/>
        <v>2.2819266399114468</v>
      </c>
      <c r="R202" s="148">
        <f t="shared" si="131"/>
        <v>2.3379410879159437</v>
      </c>
      <c r="S202" s="148">
        <f t="shared" si="131"/>
        <v>2.390091972006033</v>
      </c>
      <c r="T202" s="148">
        <f t="shared" si="131"/>
        <v>2.4148413750190514</v>
      </c>
    </row>
    <row r="203" spans="2:20">
      <c r="B203" s="58"/>
      <c r="C203" s="145" t="s">
        <v>147</v>
      </c>
      <c r="D203" s="110" t="s">
        <v>19</v>
      </c>
      <c r="E203" s="148">
        <f>E200</f>
        <v>5.1929732034782603</v>
      </c>
      <c r="F203" s="148">
        <f>F200</f>
        <v>5.1916597087401426</v>
      </c>
      <c r="G203" s="148">
        <f>G200</f>
        <v>3.4540694653635655</v>
      </c>
      <c r="H203" s="148">
        <f>H200</f>
        <v>30.098019836487317</v>
      </c>
      <c r="I203" s="148">
        <f>I200</f>
        <v>29.184526186876063</v>
      </c>
      <c r="J203" s="292"/>
      <c r="K203" s="148">
        <f t="shared" ref="K203:T203" si="132">K200</f>
        <v>26.473708284240921</v>
      </c>
      <c r="L203" s="148">
        <f t="shared" si="132"/>
        <v>28.6294092120507</v>
      </c>
      <c r="M203" s="148">
        <f t="shared" si="132"/>
        <v>29.184526186876063</v>
      </c>
      <c r="N203" s="148">
        <f t="shared" si="132"/>
        <v>30.624703866948746</v>
      </c>
      <c r="O203" s="148">
        <f t="shared" si="132"/>
        <v>31.167957301866565</v>
      </c>
      <c r="P203" s="148">
        <f t="shared" si="132"/>
        <v>27.770034656503107</v>
      </c>
      <c r="Q203" s="148">
        <f t="shared" si="132"/>
        <v>28.524082998893068</v>
      </c>
      <c r="R203" s="148">
        <f t="shared" si="132"/>
        <v>29.224263598949289</v>
      </c>
      <c r="S203" s="148">
        <f t="shared" si="132"/>
        <v>29.876149650075448</v>
      </c>
      <c r="T203" s="148">
        <f t="shared" si="132"/>
        <v>30.185517187738164</v>
      </c>
    </row>
    <row r="204" spans="2:20">
      <c r="B204" s="58"/>
      <c r="C204" s="145" t="s">
        <v>148</v>
      </c>
      <c r="D204" s="110" t="s">
        <v>19</v>
      </c>
      <c r="E204" s="148">
        <f>E93*E135*E26/1000</f>
        <v>-0.59689833912799528</v>
      </c>
      <c r="F204" s="148">
        <f>F93*F135*F26/1000</f>
        <v>-0.59674736149015373</v>
      </c>
      <c r="G204" s="148">
        <f>G93*G135*G26/1000</f>
        <v>-0.39702271633662317</v>
      </c>
      <c r="H204" s="148">
        <f>H93*H135*H26/1000</f>
        <v>-3.4595707213369487</v>
      </c>
      <c r="I204" s="148">
        <f>I93*I135*I26/1000</f>
        <v>-3.3545705950332527</v>
      </c>
      <c r="J204" s="292"/>
      <c r="K204" s="148">
        <f t="shared" ref="K204:T204" si="133">K93*K135*K26/1000</f>
        <v>-3.0429797894659227</v>
      </c>
      <c r="L204" s="148">
        <f t="shared" si="133"/>
        <v>-3.2907635258819861</v>
      </c>
      <c r="M204" s="148">
        <f t="shared" si="133"/>
        <v>-3.3545705950332527</v>
      </c>
      <c r="N204" s="148">
        <f t="shared" si="133"/>
        <v>-3.5201096093129349</v>
      </c>
      <c r="O204" s="148">
        <f t="shared" si="133"/>
        <v>-3.5825530420675724</v>
      </c>
      <c r="P204" s="148">
        <f t="shared" si="133"/>
        <v>-3.1919840358296123</v>
      </c>
      <c r="Q204" s="148">
        <f t="shared" si="133"/>
        <v>-3.2786569658754119</v>
      </c>
      <c r="R204" s="148">
        <f t="shared" si="133"/>
        <v>-3.3591381509089242</v>
      </c>
      <c r="S204" s="148">
        <f t="shared" si="133"/>
        <v>-3.4340681930969499</v>
      </c>
      <c r="T204" s="148">
        <f t="shared" si="133"/>
        <v>-3.4696279701601767</v>
      </c>
    </row>
    <row r="205" spans="2:20">
      <c r="B205" s="58"/>
      <c r="C205" s="145" t="s">
        <v>149</v>
      </c>
      <c r="D205" s="110" t="s">
        <v>19</v>
      </c>
      <c r="E205" s="148">
        <f>E203-E204</f>
        <v>5.7898715426062557</v>
      </c>
      <c r="F205" s="148">
        <f>F203-F204</f>
        <v>5.7884070702302965</v>
      </c>
      <c r="G205" s="148">
        <f>G203-G204</f>
        <v>3.8510921817001886</v>
      </c>
      <c r="H205" s="148">
        <f>H203-H204</f>
        <v>33.55759055782427</v>
      </c>
      <c r="I205" s="148">
        <f>I203-I204</f>
        <v>32.539096781909315</v>
      </c>
      <c r="J205" s="292"/>
      <c r="K205" s="148">
        <f t="shared" ref="K205:T205" si="134">K203-K204</f>
        <v>29.516688073706845</v>
      </c>
      <c r="L205" s="148">
        <f t="shared" si="134"/>
        <v>31.920172737932685</v>
      </c>
      <c r="M205" s="148">
        <f t="shared" si="134"/>
        <v>32.539096781909315</v>
      </c>
      <c r="N205" s="148">
        <f t="shared" si="134"/>
        <v>34.144813476261682</v>
      </c>
      <c r="O205" s="148">
        <f t="shared" si="134"/>
        <v>34.750510343934138</v>
      </c>
      <c r="P205" s="148">
        <f t="shared" si="134"/>
        <v>30.96201869233272</v>
      </c>
      <c r="Q205" s="148">
        <f t="shared" si="134"/>
        <v>31.802739964768481</v>
      </c>
      <c r="R205" s="148">
        <f t="shared" si="134"/>
        <v>32.583401749858211</v>
      </c>
      <c r="S205" s="148">
        <f t="shared" si="134"/>
        <v>33.310217843172396</v>
      </c>
      <c r="T205" s="148">
        <f t="shared" si="134"/>
        <v>33.655145157898339</v>
      </c>
    </row>
    <row r="206" spans="2:20">
      <c r="B206" s="58"/>
      <c r="C206" s="155" t="s">
        <v>150</v>
      </c>
      <c r="D206" s="151" t="s">
        <v>19</v>
      </c>
      <c r="E206" s="156">
        <f>E93*E22/1000</f>
        <v>6.4201563417766661</v>
      </c>
      <c r="F206" s="156">
        <f>F93*F22/1000</f>
        <v>6.4195477852930027</v>
      </c>
      <c r="G206" s="156">
        <f>G93*G22/1000</f>
        <v>4.3183896164005482</v>
      </c>
      <c r="H206" s="156">
        <f>H93*H22/1000</f>
        <v>36.311888710976525</v>
      </c>
      <c r="I206" s="156">
        <f>I93*I22/1000</f>
        <v>34.961748427107487</v>
      </c>
      <c r="J206" s="292"/>
      <c r="K206" s="156">
        <f t="shared" ref="K206:T206" si="135">K93*K22/1000</f>
        <v>31.559995121203247</v>
      </c>
      <c r="L206" s="156">
        <f t="shared" si="135"/>
        <v>34.249323439759998</v>
      </c>
      <c r="M206" s="156">
        <f t="shared" si="135"/>
        <v>34.961748427107487</v>
      </c>
      <c r="N206" s="156">
        <f t="shared" si="135"/>
        <v>36.892215011563408</v>
      </c>
      <c r="O206" s="156">
        <f t="shared" si="135"/>
        <v>37.677056090468632</v>
      </c>
      <c r="P206" s="156">
        <f t="shared" si="135"/>
        <v>33.376885002273298</v>
      </c>
      <c r="Q206" s="156">
        <f t="shared" si="135"/>
        <v>34.267690116632899</v>
      </c>
      <c r="R206" s="156">
        <f t="shared" si="135"/>
        <v>35.094857851699565</v>
      </c>
      <c r="S206" s="156">
        <f t="shared" si="135"/>
        <v>35.864972174187592</v>
      </c>
      <c r="T206" s="156">
        <f t="shared" si="135"/>
        <v>36.230447660670762</v>
      </c>
    </row>
    <row r="207" spans="2:20" ht="28.5">
      <c r="B207" s="58"/>
      <c r="C207" s="155" t="s">
        <v>151</v>
      </c>
      <c r="D207" s="151" t="s">
        <v>19</v>
      </c>
      <c r="E207" s="156">
        <f>E93*E135*E23/1000</f>
        <v>5.3720850521519568</v>
      </c>
      <c r="F207" s="156">
        <f>F93*F135*F23/1000</f>
        <v>5.3707262534113829</v>
      </c>
      <c r="G207" s="156">
        <f>G93*G135*G23/1000</f>
        <v>3.573204447029608</v>
      </c>
      <c r="H207" s="156">
        <f>H93*H135*H23/1000</f>
        <v>31.136136492032534</v>
      </c>
      <c r="I207" s="156">
        <f>I93*I135*I23/1000</f>
        <v>30.19113535529927</v>
      </c>
      <c r="J207" s="292"/>
      <c r="K207" s="156">
        <f t="shared" ref="K207:T207" si="136">K93*K135*K23/1000</f>
        <v>27.386818105193299</v>
      </c>
      <c r="L207" s="156">
        <f t="shared" si="136"/>
        <v>29.61687173293787</v>
      </c>
      <c r="M207" s="156">
        <f t="shared" si="136"/>
        <v>30.19113535529927</v>
      </c>
      <c r="N207" s="156">
        <f t="shared" si="136"/>
        <v>31.680986483816412</v>
      </c>
      <c r="O207" s="156">
        <f t="shared" si="136"/>
        <v>32.242977378608146</v>
      </c>
      <c r="P207" s="156">
        <f t="shared" si="136"/>
        <v>28.727856322466508</v>
      </c>
      <c r="Q207" s="156">
        <f t="shared" si="136"/>
        <v>29.507912692878705</v>
      </c>
      <c r="R207" s="156">
        <f t="shared" si="136"/>
        <v>30.232243358180312</v>
      </c>
      <c r="S207" s="156">
        <f t="shared" si="136"/>
        <v>30.906613737872547</v>
      </c>
      <c r="T207" s="156">
        <f t="shared" si="136"/>
        <v>31.226651731441589</v>
      </c>
    </row>
    <row r="208" spans="2:20">
      <c r="B208" s="58"/>
      <c r="C208" s="157" t="s">
        <v>257</v>
      </c>
      <c r="D208" s="151"/>
      <c r="E208" s="156">
        <f>E206/E201</f>
        <v>1.3438218401752626</v>
      </c>
      <c r="F208" s="156">
        <f>F206/F201</f>
        <v>1.3440344173739216</v>
      </c>
      <c r="G208" s="156">
        <f>G206/G201</f>
        <v>1.3589482794211987</v>
      </c>
      <c r="H208" s="156">
        <f>H206/H201</f>
        <v>1.3113634872156374</v>
      </c>
      <c r="I208" s="156">
        <f>I206/I201</f>
        <v>1.3021249761230069</v>
      </c>
      <c r="J208" s="292"/>
      <c r="K208" s="156">
        <f t="shared" ref="K208:T208" si="137">K206/K201</f>
        <v>1.295789095910959</v>
      </c>
      <c r="L208" s="156">
        <f t="shared" si="137"/>
        <v>1.300324613835558</v>
      </c>
      <c r="M208" s="156">
        <f t="shared" si="137"/>
        <v>1.3021249761230069</v>
      </c>
      <c r="N208" s="156">
        <f t="shared" si="137"/>
        <v>1.3094080479092789</v>
      </c>
      <c r="O208" s="156">
        <f t="shared" si="137"/>
        <v>1.3139559144292499</v>
      </c>
      <c r="P208" s="156">
        <f t="shared" si="137"/>
        <v>1.3064161884314454</v>
      </c>
      <c r="Q208" s="156">
        <f t="shared" si="137"/>
        <v>1.3058260017913683</v>
      </c>
      <c r="R208" s="156">
        <f t="shared" si="137"/>
        <v>1.3053052472050679</v>
      </c>
      <c r="S208" s="156">
        <f t="shared" si="137"/>
        <v>1.3048423529578617</v>
      </c>
      <c r="T208" s="156">
        <f t="shared" si="137"/>
        <v>1.3046296714204209</v>
      </c>
    </row>
    <row r="209" spans="2:20">
      <c r="B209" s="58"/>
      <c r="C209" s="157" t="s">
        <v>157</v>
      </c>
      <c r="D209" s="151"/>
      <c r="E209" s="156">
        <f>E79*E23*E34/(E47*E5*E14)</f>
        <v>1.1245466167355371</v>
      </c>
      <c r="F209" s="156">
        <f>F79*F23*F34/(F47*F5*F14)</f>
        <v>1.1244469505182018</v>
      </c>
      <c r="G209" s="156">
        <f>G79*G23*G34/(G47*G5*G14)</f>
        <v>1.1244469505182018</v>
      </c>
      <c r="H209" s="156">
        <f>H79*H23*H34/(H47*H5*H14)</f>
        <v>1.1244469505182018</v>
      </c>
      <c r="I209" s="156">
        <f>I79*I23*I34/(I47*I5*I14)</f>
        <v>1.1244469505182013</v>
      </c>
      <c r="J209" s="292"/>
      <c r="K209" s="156">
        <f t="shared" ref="K209:T209" si="138">K79*K23*K34/(K47*K5*K14)</f>
        <v>1.1244469505182018</v>
      </c>
      <c r="L209" s="156">
        <f t="shared" si="138"/>
        <v>1.1244469505182015</v>
      </c>
      <c r="M209" s="156">
        <f t="shared" si="138"/>
        <v>1.1244469505182013</v>
      </c>
      <c r="N209" s="156">
        <f t="shared" si="138"/>
        <v>1.1244469505182015</v>
      </c>
      <c r="O209" s="156">
        <f t="shared" si="138"/>
        <v>1.1244469505182015</v>
      </c>
      <c r="P209" s="156">
        <f t="shared" si="138"/>
        <v>1.1244469505182018</v>
      </c>
      <c r="Q209" s="156">
        <f t="shared" si="138"/>
        <v>1.1244469505182018</v>
      </c>
      <c r="R209" s="156">
        <f t="shared" si="138"/>
        <v>1.1244469505182018</v>
      </c>
      <c r="S209" s="156">
        <f t="shared" si="138"/>
        <v>1.1244469505182018</v>
      </c>
      <c r="T209" s="156">
        <f t="shared" si="138"/>
        <v>1.1244469505182018</v>
      </c>
    </row>
    <row r="210" spans="2:20" ht="16" thickBot="1">
      <c r="B210" s="158"/>
      <c r="C210" s="211" t="s">
        <v>258</v>
      </c>
      <c r="D210" s="159"/>
      <c r="E210" s="160">
        <f>E207/E201</f>
        <v>1.1244469505182015</v>
      </c>
      <c r="F210" s="160">
        <v>1.1244469505182015</v>
      </c>
      <c r="G210" s="160">
        <v>1.1244469505182015</v>
      </c>
      <c r="H210" s="160">
        <v>1.1244469505182015</v>
      </c>
      <c r="I210" s="160">
        <v>1.1244469505182015</v>
      </c>
      <c r="J210" s="296"/>
      <c r="K210" s="160">
        <v>1.1244469505182015</v>
      </c>
      <c r="L210" s="160">
        <v>1.1244469505182015</v>
      </c>
      <c r="M210" s="160">
        <v>1.1244469505182015</v>
      </c>
      <c r="N210" s="160">
        <v>1.1244469505182015</v>
      </c>
      <c r="O210" s="160">
        <v>1.1244469505182015</v>
      </c>
      <c r="P210" s="160">
        <v>1.1244469505182015</v>
      </c>
      <c r="Q210" s="160">
        <v>1.1244469505182015</v>
      </c>
      <c r="R210" s="160">
        <v>1.1244469505182015</v>
      </c>
      <c r="S210" s="160">
        <v>1.1244469505182015</v>
      </c>
      <c r="T210" s="160">
        <v>1.1244469505182015</v>
      </c>
    </row>
    <row r="212" spans="2:20">
      <c r="C212" s="161"/>
      <c r="E212" s="41"/>
      <c r="F212" s="41"/>
      <c r="G212" s="41"/>
      <c r="H212" s="41"/>
      <c r="I212" s="41"/>
      <c r="J212" s="297"/>
      <c r="K212" s="41"/>
      <c r="L212" s="41"/>
      <c r="M212" s="41"/>
      <c r="N212" s="41"/>
      <c r="O212" s="41"/>
      <c r="P212" s="41"/>
      <c r="Q212" s="41"/>
      <c r="R212" s="41"/>
      <c r="S212" s="41"/>
      <c r="T212" s="41"/>
    </row>
  </sheetData>
  <sheetProtection algorithmName="SHA-512" hashValue="NDGpdCUABjTbb93W4suhgFkxh3ZTybyrwuFCfDES/Oxg+3oMlx42QUKy/CrysWuWHQLGcfVKFZxMN53X4htCOA==" saltValue="AaXcU8MfpdgHJ4yvm6udKQ==" spinCount="100000" sheet="1" objects="1" scenarios="1"/>
  <protectedRanges>
    <protectedRange sqref="B2:T210" name="区域1"/>
  </protectedRanges>
  <mergeCells count="2">
    <mergeCell ref="K1:O1"/>
    <mergeCell ref="P1:T1"/>
  </mergeCells>
  <phoneticPr fontId="28" type="noConversion"/>
  <pageMargins left="0.75" right="0.75" top="1" bottom="1" header="0.50902777777777797" footer="0.50902777777777797"/>
  <pageSetup paperSize="9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试验电池设计 (20220407)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webuser</cp:lastModifiedBy>
  <dcterms:created xsi:type="dcterms:W3CDTF">2016-10-26T03:29:00Z</dcterms:created>
  <dcterms:modified xsi:type="dcterms:W3CDTF">2022-11-02T00:09:27Z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