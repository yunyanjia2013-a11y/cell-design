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圆柱电池极片长度估算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N17" i="1"/>
  <c r="N19" i="1" s="1"/>
  <c r="M17" i="1"/>
  <c r="M19" i="1" s="1"/>
  <c r="L17" i="1"/>
  <c r="L19" i="1" s="1"/>
  <c r="I15" i="1" l="1"/>
  <c r="C4" i="1" s="1"/>
  <c r="H15" i="1"/>
  <c r="C9" i="1" s="1"/>
  <c r="C21" i="1" l="1"/>
  <c r="C22" i="1" s="1"/>
  <c r="C23" i="1" s="1"/>
  <c r="D1" i="1"/>
  <c r="E1" i="1"/>
</calcChain>
</file>

<file path=xl/sharedStrings.xml><?xml version="1.0" encoding="utf-8"?>
<sst xmlns="http://schemas.openxmlformats.org/spreadsheetml/2006/main" count="85" uniqueCount="61">
  <si>
    <t>电池型号</t>
    <phoneticPr fontId="1" type="noConversion"/>
  </si>
  <si>
    <t>直径</t>
    <phoneticPr fontId="1" type="noConversion"/>
  </si>
  <si>
    <t>高度</t>
    <phoneticPr fontId="1" type="noConversion"/>
  </si>
  <si>
    <t>mm</t>
    <phoneticPr fontId="1" type="noConversion"/>
  </si>
  <si>
    <t>直径</t>
    <phoneticPr fontId="1" type="noConversion"/>
  </si>
  <si>
    <t>自定义</t>
    <phoneticPr fontId="1" type="noConversion"/>
  </si>
  <si>
    <t>壳体尺寸</t>
    <phoneticPr fontId="1" type="noConversion"/>
  </si>
  <si>
    <t>壳厚</t>
    <phoneticPr fontId="1" type="noConversion"/>
  </si>
  <si>
    <t>隔膜厚度</t>
    <phoneticPr fontId="1" type="noConversion"/>
  </si>
  <si>
    <t>正极长度</t>
    <phoneticPr fontId="1" type="noConversion"/>
  </si>
  <si>
    <t>常见电池型号</t>
    <phoneticPr fontId="1" type="noConversion"/>
  </si>
  <si>
    <t>mm</t>
    <phoneticPr fontId="1" type="noConversion"/>
  </si>
  <si>
    <t>μm</t>
    <phoneticPr fontId="1" type="noConversion"/>
  </si>
  <si>
    <t>负极长度</t>
  </si>
  <si>
    <t>负极长度</t>
    <phoneticPr fontId="1" type="noConversion"/>
  </si>
  <si>
    <t>隔膜长度</t>
  </si>
  <si>
    <t>隔膜长度</t>
    <phoneticPr fontId="1" type="noConversion"/>
  </si>
  <si>
    <t>计算结果</t>
    <phoneticPr fontId="1" type="noConversion"/>
  </si>
  <si>
    <t>备注</t>
    <phoneticPr fontId="1" type="noConversion"/>
  </si>
  <si>
    <t>直径利用率</t>
    <phoneticPr fontId="1" type="noConversion"/>
  </si>
  <si>
    <t>内径预留</t>
    <phoneticPr fontId="1" type="noConversion"/>
  </si>
  <si>
    <t>输入参数</t>
    <phoneticPr fontId="1" type="noConversion"/>
  </si>
  <si>
    <t>卷芯直径</t>
    <phoneticPr fontId="1" type="noConversion"/>
  </si>
  <si>
    <t>卷芯直径</t>
    <phoneticPr fontId="1" type="noConversion"/>
  </si>
  <si>
    <t>卷芯设计</t>
    <phoneticPr fontId="1" type="noConversion"/>
  </si>
  <si>
    <t>卷针直径</t>
    <phoneticPr fontId="1" type="noConversion"/>
  </si>
  <si>
    <t>mm</t>
    <phoneticPr fontId="1" type="noConversion"/>
  </si>
  <si>
    <t>正极厚度</t>
    <phoneticPr fontId="1" type="noConversion"/>
  </si>
  <si>
    <t>μm</t>
    <phoneticPr fontId="1" type="noConversion"/>
  </si>
  <si>
    <t>负极厚度</t>
    <phoneticPr fontId="1" type="noConversion"/>
  </si>
  <si>
    <t>输入栏</t>
    <phoneticPr fontId="1" type="noConversion"/>
  </si>
  <si>
    <t>计算栏</t>
  </si>
  <si>
    <t>计算栏</t>
    <phoneticPr fontId="1" type="noConversion"/>
  </si>
  <si>
    <t>电芯数据验证与修正</t>
    <phoneticPr fontId="1" type="noConversion"/>
  </si>
  <si>
    <t>Model S-18650</t>
    <phoneticPr fontId="1" type="noConversion"/>
  </si>
  <si>
    <t>Model 3-21700</t>
    <phoneticPr fontId="1" type="noConversion"/>
  </si>
  <si>
    <t>Model Y-4680</t>
    <phoneticPr fontId="1" type="noConversion"/>
  </si>
  <si>
    <t>电芯直径</t>
    <phoneticPr fontId="1" type="noConversion"/>
  </si>
  <si>
    <t>电芯高度</t>
    <phoneticPr fontId="1" type="noConversion"/>
  </si>
  <si>
    <t>壳体厚度</t>
    <phoneticPr fontId="1" type="noConversion"/>
  </si>
  <si>
    <t>卷针直径</t>
    <phoneticPr fontId="1" type="noConversion"/>
  </si>
  <si>
    <t>正极厚度</t>
    <phoneticPr fontId="1" type="noConversion"/>
  </si>
  <si>
    <t>负极厚度</t>
    <phoneticPr fontId="1" type="noConversion"/>
  </si>
  <si>
    <t>隔膜厚度</t>
    <phoneticPr fontId="1" type="noConversion"/>
  </si>
  <si>
    <t>正极长度</t>
  </si>
  <si>
    <t>计算方法</t>
    <phoneticPr fontId="1" type="noConversion"/>
  </si>
  <si>
    <t>调节参数</t>
    <phoneticPr fontId="1" type="noConversion"/>
  </si>
  <si>
    <t>内部空间直径</t>
    <phoneticPr fontId="1" type="noConversion"/>
  </si>
  <si>
    <t>操作步骤</t>
    <phoneticPr fontId="1" type="noConversion"/>
  </si>
  <si>
    <t>圈</t>
    <phoneticPr fontId="1" type="noConversion"/>
  </si>
  <si>
    <t>1、卷绕开始，隔膜先卷绕n1圈</t>
    <phoneticPr fontId="1" type="noConversion"/>
  </si>
  <si>
    <t>3、正负极同时卷绕结束后，负极再卷绕m（m&gt;1）圈</t>
    <phoneticPr fontId="1" type="noConversion"/>
  </si>
  <si>
    <t>4、负极卷绕结束后，隔膜再卷绕n2圈</t>
    <phoneticPr fontId="1" type="noConversion"/>
  </si>
  <si>
    <t>隔膜先卷n1</t>
    <phoneticPr fontId="1" type="noConversion"/>
  </si>
  <si>
    <t>负极后卷绕m</t>
    <phoneticPr fontId="1" type="noConversion"/>
  </si>
  <si>
    <t>隔膜后卷绕n2</t>
    <phoneticPr fontId="1" type="noConversion"/>
  </si>
  <si>
    <t>2、负极先卷绕几mm后正极开始卷绕，该值忽略</t>
    <phoneticPr fontId="1" type="noConversion"/>
  </si>
  <si>
    <t>1、输入电池型号，可下拉选择常见型号。也可自定义，此时电池型号右侧填入电芯直径和高度；</t>
    <phoneticPr fontId="1" type="noConversion"/>
  </si>
  <si>
    <t>2、输入壳厚和内径预留值。内径预留值为调节参数，该值越大说明空间利用率越低；</t>
    <phoneticPr fontId="1" type="noConversion"/>
  </si>
  <si>
    <t>3、输入卷绕卷针直径、正负极和隔膜厚度，隔膜和负极先后卷绕圈数，自动计算。</t>
    <phoneticPr fontId="1" type="noConversion"/>
  </si>
  <si>
    <t>43.6=&gt;44.5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</si>
</sst>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0.0%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3" xfId="0" applyBorder="1"/>
    <xf numFmtId="0" fontId="0" fillId="0" borderId="4" xfId="0" applyBorder="1"/>
    <xf numFmtId="1" fontId="0" fillId="0" borderId="3" xfId="0" applyNumberFormat="1" applyBorder="1"/>
    <xf numFmtId="0" fontId="2" fillId="3" borderId="6" xfId="0" applyFont="1" applyFill="1" applyBorder="1"/>
    <xf numFmtId="0" fontId="0" fillId="0" borderId="7" xfId="0" applyBorder="1"/>
    <xf numFmtId="0" fontId="3" fillId="4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2" borderId="11" xfId="0" applyFill="1" applyBorder="1"/>
    <xf numFmtId="0" fontId="2" fillId="0" borderId="10" xfId="0" applyFont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2" fillId="0" borderId="13" xfId="0" applyFont="1" applyBorder="1" applyAlignment="1">
      <alignment horizontal="right"/>
    </xf>
    <xf numFmtId="0" fontId="2" fillId="3" borderId="13" xfId="0" applyFont="1" applyFill="1" applyBorder="1"/>
    <xf numFmtId="0" fontId="2" fillId="0" borderId="14" xfId="0" applyFont="1" applyBorder="1" applyAlignment="1">
      <alignment horizontal="right"/>
    </xf>
    <xf numFmtId="1" fontId="0" fillId="0" borderId="4" xfId="0" applyNumberFormat="1" applyBorder="1"/>
    <xf numFmtId="0" fontId="0" fillId="0" borderId="15" xfId="0" applyBorder="1"/>
    <xf numFmtId="0" fontId="2" fillId="0" borderId="17" xfId="0" applyFont="1" applyBorder="1" applyAlignment="1">
      <alignment horizontal="right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0" borderId="5" xfId="0" applyFont="1" applyFill="1" applyBorder="1"/>
    <xf numFmtId="0" fontId="0" fillId="4" borderId="22" xfId="0" applyFill="1" applyBorder="1"/>
    <xf numFmtId="0" fontId="2" fillId="0" borderId="23" xfId="0" applyFont="1" applyFill="1" applyBorder="1"/>
    <xf numFmtId="1" fontId="0" fillId="0" borderId="18" xfId="0" applyNumberFormat="1" applyBorder="1"/>
    <xf numFmtId="0" fontId="0" fillId="0" borderId="17" xfId="0" applyBorder="1"/>
    <xf numFmtId="0" fontId="0" fillId="0" borderId="10" xfId="0" applyBorder="1"/>
    <xf numFmtId="0" fontId="0" fillId="0" borderId="14" xfId="0" applyBorder="1" applyAlignment="1">
      <alignment horizontal="right"/>
    </xf>
    <xf numFmtId="0" fontId="0" fillId="0" borderId="14" xfId="0" applyBorder="1"/>
    <xf numFmtId="0" fontId="0" fillId="0" borderId="25" xfId="0" applyBorder="1"/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0" fillId="6" borderId="10" xfId="0" applyFill="1" applyBorder="1"/>
    <xf numFmtId="0" fontId="0" fillId="6" borderId="3" xfId="0" applyFill="1" applyBorder="1"/>
    <xf numFmtId="0" fontId="0" fillId="6" borderId="20" xfId="0" applyFill="1" applyBorder="1"/>
    <xf numFmtId="0" fontId="0" fillId="6" borderId="0" xfId="0" applyFill="1"/>
    <xf numFmtId="0" fontId="2" fillId="6" borderId="10" xfId="0" applyFont="1" applyFill="1" applyBorder="1" applyAlignment="1">
      <alignment horizontal="right"/>
    </xf>
    <xf numFmtId="0" fontId="0" fillId="6" borderId="12" xfId="0" applyFill="1" applyBorder="1"/>
    <xf numFmtId="0" fontId="0" fillId="7" borderId="3" xfId="0" applyFill="1" applyBorder="1"/>
    <xf numFmtId="0" fontId="0" fillId="7" borderId="20" xfId="0" applyFill="1" applyBorder="1"/>
    <xf numFmtId="182" fontId="0" fillId="0" borderId="0" xfId="0" applyNumberFormat="1"/>
    <xf numFmtId="0" fontId="2" fillId="0" borderId="16" xfId="0" applyFont="1" applyBorder="1" applyAlignment="1">
      <alignment horizontal="right"/>
    </xf>
    <xf numFmtId="0" fontId="0" fillId="0" borderId="29" xfId="0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8" borderId="24" xfId="0" applyFill="1" applyBorder="1" applyAlignment="1">
      <alignment horizontal="center"/>
    </xf>
    <xf numFmtId="0" fontId="0" fillId="8" borderId="18" xfId="0" applyFill="1" applyBorder="1"/>
    <xf numFmtId="0" fontId="0" fillId="8" borderId="3" xfId="0" applyFill="1" applyBorder="1"/>
    <xf numFmtId="0" fontId="0" fillId="8" borderId="1" xfId="0" applyFill="1" applyBorder="1"/>
    <xf numFmtId="0" fontId="0" fillId="8" borderId="4" xfId="0" applyFill="1" applyBorder="1"/>
    <xf numFmtId="182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105709</xdr:colOff>
      <xdr:row>2</xdr:row>
      <xdr:rowOff>68396</xdr:rowOff>
    </xdr:from>
    <xdr:to>
      <xdr:col>20</xdr:col>
      <xdr:colOff>112059</xdr:colOff>
      <xdr:row>11</xdr:row>
      <xdr:rowOff>172569</xdr:rowOff>
    </xdr:to>
    <xdr:pic>
      <xdr:nvPicPr>
        <xdr:cNvPr id="2" name="图片 1" descr="图片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7356" y="404572"/>
          <a:ext cx="2635997" cy="1762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96744</xdr:colOff>
      <xdr:row>12</xdr:row>
      <xdr:rowOff>54910</xdr:rowOff>
    </xdr:from>
    <xdr:to>
      <xdr:col>18</xdr:col>
      <xdr:colOff>452344</xdr:colOff>
      <xdr:row>16</xdr:row>
      <xdr:rowOff>54910</xdr:rowOff>
    </xdr:to>
    <xdr:pic>
      <xdr:nvPicPr>
        <xdr:cNvPr id="3" name="图片 2" descr="图片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38391" y="2228851"/>
          <a:ext cx="1670424" cy="72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268943</xdr:colOff>
      <xdr:row>15</xdr:row>
      <xdr:rowOff>141941</xdr:rowOff>
    </xdr:from>
    <xdr:to>
      <xdr:col>7</xdr:col>
      <xdr:colOff>395941</xdr:colOff>
      <xdr:row>24</xdr:row>
      <xdr:rowOff>119833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4178" y="2861235"/>
          <a:ext cx="1367116" cy="1613951"/>
        </a:xfrm>
        <a:prstGeom prst="rect">
          <a:avLst/>
        </a:prstGeom>
      </xdr:spPr>
    </xdr:pic>
    <xdr:clientData/>
  </xdr:twoCellAnchor>
  <xdr:oneCellAnchor>
    <xdr:from>
      <xdr:col>5</xdr:col>
      <xdr:colOff>136071</xdr:colOff>
      <xdr:row>7</xdr:row>
      <xdr:rowOff>40752</xdr:rowOff>
    </xdr:from>
    <xdr:ext cx="5835507" cy="1030410"/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20825337">
          <a:off x="3265714" y="1274466"/>
          <a:ext cx="5835507" cy="1030410"/>
        </a:xfrm>
        <a:prstGeom prst="rect">
          <a:avLst/>
        </a:prstGeom>
        <a:noFill/>
        <a:ln>
          <a:noFill/>
        </a:ln>
        <a:effectLst>
          <a:softEdge rad="0"/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alpha val="10000"/>
                  </a:schemeClr>
                </a:solidFill>
                <a:prstDash val="solid"/>
              </a:ln>
              <a:noFill/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alpha val="10000"/>
                  </a:schemeClr>
                </a:solidFill>
                <a:prstDash val="solid"/>
              </a:ln>
              <a:noFill/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alpha val="10000"/>
                </a:schemeClr>
              </a:solidFill>
              <a:prstDash val="solid"/>
            </a:ln>
            <a:noFill/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1</xdr:col>
      <xdr:colOff>297613</xdr:colOff>
      <xdr:row>8</xdr:row>
      <xdr:rowOff>103668</xdr:rowOff>
    </xdr:from>
    <xdr:ext cx="2244443" cy="439736"/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20739850">
          <a:off x="497184" y="1518811"/>
          <a:ext cx="2244443" cy="439736"/>
        </a:xfrm>
        <a:prstGeom prst="rect">
          <a:avLst/>
        </a:prstGeom>
        <a:noFill/>
        <a:ln>
          <a:noFill/>
        </a:ln>
        <a:effectLst>
          <a:softEdge rad="101600"/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zh-CN" altLang="en-US" sz="2000" b="1" cap="none" spc="0">
              <a:ln w="10160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noFill/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锂想生活</a:t>
          </a:r>
          <a:r>
            <a:rPr lang="en-US" altLang="zh-CN" sz="2000" b="1" cap="none" spc="0">
              <a:ln w="10160">
                <a:solidFill>
                  <a:schemeClr val="accent1">
                    <a:lumMod val="20000"/>
                    <a:lumOff val="80000"/>
                  </a:schemeClr>
                </a:solidFill>
                <a:prstDash val="solid"/>
              </a:ln>
              <a:noFill/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mikoWoo</a:t>
          </a:r>
          <a:endParaRPr lang="zh-CN" altLang="en-US" sz="2000" b="1" cap="none" spc="0">
            <a:ln w="10160">
              <a:solidFill>
                <a:schemeClr val="accent1">
                  <a:lumMod val="20000"/>
                  <a:lumOff val="80000"/>
                </a:schemeClr>
              </a:solidFill>
              <a:prstDash val="solid"/>
            </a:ln>
            <a:noFill/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8"/>
  <sheetViews>
    <sheetView tabSelected="1" zoomScale="70" zoomScaleNormal="70" workbookViewId="0">
      <selection activeCell="O27" sqref="O27"/>
    </sheetView>
  </sheetViews>
  <sheetFormatPr defaultRowHeight="14" x14ac:dyDescent="0.3"/>
  <cols>
    <col min="1" max="1" width="2.58203125" customWidth="1"/>
    <col min="2" max="2" width="12.4140625" bestFit="1" customWidth="1"/>
    <col min="6" max="6" width="4.4140625" customWidth="1"/>
    <col min="7" max="7" width="11.83203125" customWidth="1"/>
    <col min="10" max="10" width="5" customWidth="1"/>
    <col min="11" max="11" width="8.5" customWidth="1"/>
    <col min="12" max="12" width="10.33203125" customWidth="1"/>
    <col min="13" max="13" width="9.5" customWidth="1"/>
    <col min="14" max="14" width="9.9140625" customWidth="1"/>
    <col min="15" max="15" width="8.33203125" customWidth="1"/>
    <col min="16" max="16" width="4.25" customWidth="1"/>
  </cols>
  <sheetData>
    <row r="1" spans="2:17" ht="11.5" customHeight="1" thickBot="1" x14ac:dyDescent="0.35">
      <c r="B1" s="7" t="s">
        <v>21</v>
      </c>
      <c r="C1" s="8"/>
      <c r="D1" s="9">
        <f>IF(C2=G15,"下方填写直径",)</f>
        <v>0</v>
      </c>
      <c r="E1" s="10">
        <f>IF(C2=G15,"下方填写高度",)</f>
        <v>0</v>
      </c>
    </row>
    <row r="2" spans="2:17" ht="14.5" thickBot="1" x14ac:dyDescent="0.35">
      <c r="B2" s="28" t="s">
        <v>0</v>
      </c>
      <c r="C2" s="55">
        <v>4680</v>
      </c>
      <c r="D2" s="27"/>
      <c r="E2" s="11"/>
      <c r="G2" s="30" t="s">
        <v>10</v>
      </c>
      <c r="H2" s="22" t="s">
        <v>4</v>
      </c>
      <c r="I2" s="23" t="s">
        <v>2</v>
      </c>
      <c r="K2" s="38" t="s">
        <v>33</v>
      </c>
      <c r="L2" s="39"/>
      <c r="M2" s="39"/>
      <c r="N2" s="40"/>
      <c r="Q2" t="s">
        <v>45</v>
      </c>
    </row>
    <row r="3" spans="2:17" x14ac:dyDescent="0.3">
      <c r="B3" s="21" t="s">
        <v>1</v>
      </c>
      <c r="C3" s="22">
        <f>VLOOKUP(C2,G3:I15,2,FALSE)</f>
        <v>46</v>
      </c>
      <c r="D3" s="23" t="s">
        <v>3</v>
      </c>
      <c r="E3" s="13" t="s">
        <v>32</v>
      </c>
      <c r="G3" s="31">
        <v>10400</v>
      </c>
      <c r="H3" s="4">
        <v>10</v>
      </c>
      <c r="I3" s="24">
        <v>40</v>
      </c>
      <c r="K3" s="34"/>
      <c r="L3" s="35" t="s">
        <v>34</v>
      </c>
      <c r="M3" s="36" t="s">
        <v>35</v>
      </c>
      <c r="N3" s="37" t="s">
        <v>36</v>
      </c>
    </row>
    <row r="4" spans="2:17" ht="14.5" thickBot="1" x14ac:dyDescent="0.35">
      <c r="B4" s="18" t="s">
        <v>2</v>
      </c>
      <c r="C4" s="5">
        <f>VLOOKUP(C2,G3:I15,3,FALSE)</f>
        <v>80</v>
      </c>
      <c r="D4" s="25" t="s">
        <v>3</v>
      </c>
      <c r="E4" s="13" t="s">
        <v>32</v>
      </c>
      <c r="G4" s="31">
        <v>14500</v>
      </c>
      <c r="H4" s="4">
        <v>14</v>
      </c>
      <c r="I4" s="24">
        <v>50</v>
      </c>
      <c r="K4" s="31" t="s">
        <v>37</v>
      </c>
      <c r="L4" s="47">
        <v>18</v>
      </c>
      <c r="M4" s="47">
        <v>21</v>
      </c>
      <c r="N4" s="48">
        <v>46</v>
      </c>
    </row>
    <row r="5" spans="2:17" ht="14.5" thickBot="1" x14ac:dyDescent="0.35">
      <c r="B5" s="14"/>
      <c r="C5" s="15"/>
      <c r="D5" s="15"/>
      <c r="E5" s="13"/>
      <c r="G5" s="31">
        <v>16340</v>
      </c>
      <c r="H5" s="4">
        <v>16</v>
      </c>
      <c r="I5" s="24">
        <v>34</v>
      </c>
      <c r="K5" s="31" t="s">
        <v>38</v>
      </c>
      <c r="L5" s="4">
        <v>65</v>
      </c>
      <c r="M5" s="4">
        <v>70</v>
      </c>
      <c r="N5" s="24">
        <v>80</v>
      </c>
    </row>
    <row r="6" spans="2:17" ht="14.5" thickBot="1" x14ac:dyDescent="0.35">
      <c r="B6" s="26" t="s">
        <v>6</v>
      </c>
      <c r="C6" s="15"/>
      <c r="D6" s="15"/>
      <c r="E6" s="13"/>
      <c r="G6" s="31">
        <v>18650</v>
      </c>
      <c r="H6" s="4">
        <v>18</v>
      </c>
      <c r="I6" s="24">
        <v>65</v>
      </c>
      <c r="K6" s="31" t="s">
        <v>39</v>
      </c>
      <c r="L6" s="47">
        <v>0.15</v>
      </c>
      <c r="M6" s="47">
        <v>0.15</v>
      </c>
      <c r="N6" s="48">
        <v>0.4</v>
      </c>
    </row>
    <row r="7" spans="2:17" x14ac:dyDescent="0.3">
      <c r="B7" s="21" t="s">
        <v>7</v>
      </c>
      <c r="C7" s="56">
        <v>0.4</v>
      </c>
      <c r="D7" s="23" t="s">
        <v>11</v>
      </c>
      <c r="E7" s="13" t="s">
        <v>30</v>
      </c>
      <c r="G7" s="31">
        <v>20700</v>
      </c>
      <c r="H7" s="4">
        <v>20</v>
      </c>
      <c r="I7" s="24">
        <v>70</v>
      </c>
      <c r="K7" s="41" t="s">
        <v>20</v>
      </c>
      <c r="L7" s="42">
        <v>0.5</v>
      </c>
      <c r="M7" s="42">
        <v>0.8</v>
      </c>
      <c r="N7" s="43">
        <v>1.6</v>
      </c>
      <c r="O7" s="44" t="s">
        <v>46</v>
      </c>
    </row>
    <row r="8" spans="2:17" x14ac:dyDescent="0.3">
      <c r="B8" s="45" t="s">
        <v>20</v>
      </c>
      <c r="C8" s="42">
        <v>1.6</v>
      </c>
      <c r="D8" s="43" t="s">
        <v>11</v>
      </c>
      <c r="E8" s="46" t="s">
        <v>46</v>
      </c>
      <c r="G8" s="31">
        <v>21700</v>
      </c>
      <c r="H8" s="4">
        <v>21</v>
      </c>
      <c r="I8" s="24">
        <v>70</v>
      </c>
      <c r="K8" s="31" t="s">
        <v>22</v>
      </c>
      <c r="L8" s="4">
        <v>17.100000000000001</v>
      </c>
      <c r="M8" s="4">
        <v>19.899999999999999</v>
      </c>
      <c r="N8" s="24" t="s">
        <v>60</v>
      </c>
    </row>
    <row r="9" spans="2:17" ht="14.5" thickBot="1" x14ac:dyDescent="0.35">
      <c r="B9" s="18" t="s">
        <v>23</v>
      </c>
      <c r="C9" s="5">
        <f>C3-C7*2-C8</f>
        <v>43.6</v>
      </c>
      <c r="D9" s="25" t="s">
        <v>11</v>
      </c>
      <c r="E9" s="13" t="s">
        <v>32</v>
      </c>
      <c r="G9" s="31">
        <v>26650</v>
      </c>
      <c r="H9" s="4">
        <v>26</v>
      </c>
      <c r="I9" s="24">
        <v>65</v>
      </c>
      <c r="K9" s="31" t="s">
        <v>40</v>
      </c>
      <c r="L9" s="47">
        <v>4</v>
      </c>
      <c r="M9" s="47">
        <v>5</v>
      </c>
      <c r="N9" s="48">
        <v>5</v>
      </c>
    </row>
    <row r="10" spans="2:17" ht="14.5" thickBot="1" x14ac:dyDescent="0.35">
      <c r="B10" s="16"/>
      <c r="C10" s="15"/>
      <c r="D10" s="15"/>
      <c r="E10" s="13"/>
      <c r="G10" s="31">
        <v>32650</v>
      </c>
      <c r="H10" s="4">
        <v>32</v>
      </c>
      <c r="I10" s="24">
        <v>65</v>
      </c>
      <c r="K10" s="31" t="s">
        <v>41</v>
      </c>
      <c r="L10" s="47">
        <v>140</v>
      </c>
      <c r="M10" s="47">
        <v>175</v>
      </c>
      <c r="N10" s="48">
        <v>174</v>
      </c>
    </row>
    <row r="11" spans="2:17" ht="14.5" thickBot="1" x14ac:dyDescent="0.35">
      <c r="B11" s="26" t="s">
        <v>24</v>
      </c>
      <c r="C11" s="15"/>
      <c r="D11" s="15"/>
      <c r="E11" s="13"/>
      <c r="G11" s="31">
        <v>4680</v>
      </c>
      <c r="H11" s="4">
        <v>46</v>
      </c>
      <c r="I11" s="24">
        <v>80</v>
      </c>
      <c r="K11" s="31" t="s">
        <v>42</v>
      </c>
      <c r="L11" s="47">
        <v>180</v>
      </c>
      <c r="M11" s="47">
        <v>147</v>
      </c>
      <c r="N11" s="48">
        <v>262</v>
      </c>
    </row>
    <row r="12" spans="2:17" x14ac:dyDescent="0.3">
      <c r="B12" s="21" t="s">
        <v>25</v>
      </c>
      <c r="C12" s="56">
        <v>5</v>
      </c>
      <c r="D12" s="23" t="s">
        <v>26</v>
      </c>
      <c r="E12" s="13" t="s">
        <v>30</v>
      </c>
      <c r="G12" s="31">
        <v>4690</v>
      </c>
      <c r="H12" s="4">
        <v>46</v>
      </c>
      <c r="I12" s="24">
        <v>90</v>
      </c>
      <c r="K12" s="31" t="s">
        <v>43</v>
      </c>
      <c r="L12" s="4">
        <v>15</v>
      </c>
      <c r="M12" s="4">
        <v>15</v>
      </c>
      <c r="N12" s="24">
        <v>15</v>
      </c>
    </row>
    <row r="13" spans="2:17" x14ac:dyDescent="0.3">
      <c r="B13" s="12" t="s">
        <v>27</v>
      </c>
      <c r="C13" s="57">
        <v>174</v>
      </c>
      <c r="D13" s="24" t="s">
        <v>28</v>
      </c>
      <c r="E13" s="13" t="s">
        <v>30</v>
      </c>
      <c r="G13" s="31">
        <v>4695</v>
      </c>
      <c r="H13" s="4">
        <v>46</v>
      </c>
      <c r="I13" s="24">
        <v>95</v>
      </c>
      <c r="K13" s="31" t="s">
        <v>44</v>
      </c>
      <c r="L13" s="4">
        <v>656</v>
      </c>
      <c r="M13" s="4">
        <v>865</v>
      </c>
      <c r="N13" s="24">
        <v>3267</v>
      </c>
    </row>
    <row r="14" spans="2:17" x14ac:dyDescent="0.3">
      <c r="B14" s="12" t="s">
        <v>29</v>
      </c>
      <c r="C14" s="57">
        <v>262</v>
      </c>
      <c r="D14" s="24" t="s">
        <v>28</v>
      </c>
      <c r="E14" s="13" t="s">
        <v>30</v>
      </c>
      <c r="G14" s="31">
        <v>46120</v>
      </c>
      <c r="H14" s="4">
        <v>46</v>
      </c>
      <c r="I14" s="24">
        <v>120</v>
      </c>
      <c r="K14" s="31" t="s">
        <v>13</v>
      </c>
      <c r="L14" s="4">
        <v>710</v>
      </c>
      <c r="M14" s="4">
        <v>927</v>
      </c>
      <c r="N14" s="24">
        <v>3404</v>
      </c>
    </row>
    <row r="15" spans="2:17" ht="14.5" thickBot="1" x14ac:dyDescent="0.35">
      <c r="B15" s="50" t="s">
        <v>8</v>
      </c>
      <c r="C15" s="58">
        <v>15</v>
      </c>
      <c r="D15" s="51" t="s">
        <v>12</v>
      </c>
      <c r="E15" s="13" t="s">
        <v>30</v>
      </c>
      <c r="G15" s="32" t="s">
        <v>5</v>
      </c>
      <c r="H15" s="5">
        <f>D2</f>
        <v>0</v>
      </c>
      <c r="I15" s="25">
        <f>E2</f>
        <v>0</v>
      </c>
      <c r="K15" s="33" t="s">
        <v>15</v>
      </c>
      <c r="L15" s="5">
        <v>816</v>
      </c>
      <c r="M15" s="5">
        <v>1052</v>
      </c>
      <c r="N15" s="25">
        <v>3641</v>
      </c>
    </row>
    <row r="16" spans="2:17" x14ac:dyDescent="0.3">
      <c r="B16" s="21" t="s">
        <v>53</v>
      </c>
      <c r="C16" s="56">
        <v>2</v>
      </c>
      <c r="D16" s="52" t="s">
        <v>49</v>
      </c>
      <c r="E16" s="13" t="s">
        <v>30</v>
      </c>
    </row>
    <row r="17" spans="2:19" x14ac:dyDescent="0.3">
      <c r="B17" s="12" t="s">
        <v>54</v>
      </c>
      <c r="C17" s="57">
        <v>1</v>
      </c>
      <c r="D17" s="53" t="s">
        <v>49</v>
      </c>
      <c r="E17" s="13" t="s">
        <v>30</v>
      </c>
      <c r="K17" s="2" t="s">
        <v>47</v>
      </c>
      <c r="L17">
        <f>18-0.3</f>
        <v>17.7</v>
      </c>
      <c r="M17">
        <f>21-0.3</f>
        <v>20.7</v>
      </c>
      <c r="N17">
        <f>46-0.8</f>
        <v>45.2</v>
      </c>
    </row>
    <row r="18" spans="2:19" ht="14.5" thickBot="1" x14ac:dyDescent="0.35">
      <c r="B18" s="18" t="s">
        <v>55</v>
      </c>
      <c r="C18" s="59">
        <v>1.5</v>
      </c>
      <c r="D18" s="54" t="s">
        <v>49</v>
      </c>
      <c r="E18" s="13" t="s">
        <v>30</v>
      </c>
      <c r="K18" s="2" t="s">
        <v>19</v>
      </c>
      <c r="L18" s="49">
        <v>0.97199999999999998</v>
      </c>
      <c r="M18" s="60">
        <v>0.96099999999999997</v>
      </c>
      <c r="N18" s="60">
        <v>0.96499999999999997</v>
      </c>
    </row>
    <row r="19" spans="2:19" x14ac:dyDescent="0.3">
      <c r="B19" s="14"/>
      <c r="C19" s="15"/>
      <c r="D19" s="15"/>
      <c r="E19" s="13"/>
      <c r="K19" t="s">
        <v>20</v>
      </c>
      <c r="L19" s="3">
        <f>L17*(1-L18)</f>
        <v>0.49560000000000043</v>
      </c>
      <c r="M19" s="3">
        <f t="shared" ref="M19:N19" si="0">M17*(1-M18)</f>
        <v>0.80730000000000068</v>
      </c>
      <c r="N19" s="3">
        <f t="shared" si="0"/>
        <v>1.5820000000000014</v>
      </c>
    </row>
    <row r="20" spans="2:19" ht="14.5" thickBot="1" x14ac:dyDescent="0.35">
      <c r="B20" s="17" t="s">
        <v>17</v>
      </c>
      <c r="C20" s="15"/>
      <c r="D20" s="15"/>
      <c r="E20" s="13"/>
    </row>
    <row r="21" spans="2:19" x14ac:dyDescent="0.3">
      <c r="B21" s="21" t="s">
        <v>9</v>
      </c>
      <c r="C21" s="29">
        <f>3.1415926*(((C3-C7*2-C8)^2-C12^2)/(4*(C13+C14+C15)/1000))</f>
        <v>3266.9080121374727</v>
      </c>
      <c r="D21" s="23" t="s">
        <v>11</v>
      </c>
      <c r="E21" s="13" t="s">
        <v>31</v>
      </c>
      <c r="I21" s="44" t="s">
        <v>48</v>
      </c>
      <c r="J21" s="44" t="s">
        <v>57</v>
      </c>
      <c r="K21" s="44"/>
      <c r="L21" s="44"/>
      <c r="M21" s="44"/>
      <c r="N21" s="44"/>
      <c r="O21" s="44"/>
      <c r="P21" s="44"/>
      <c r="Q21" s="44"/>
      <c r="R21" s="44"/>
      <c r="S21" s="44"/>
    </row>
    <row r="22" spans="2:19" x14ac:dyDescent="0.3">
      <c r="B22" s="12" t="s">
        <v>14</v>
      </c>
      <c r="C22" s="6">
        <f>C21+3.1415926*(C3-C7*2-C8)*C17</f>
        <v>3403.8814494974727</v>
      </c>
      <c r="D22" s="24" t="s">
        <v>11</v>
      </c>
      <c r="E22" s="13" t="s">
        <v>31</v>
      </c>
      <c r="I22" s="44"/>
      <c r="J22" s="44" t="s">
        <v>58</v>
      </c>
      <c r="K22" s="44"/>
      <c r="L22" s="44"/>
      <c r="M22" s="44"/>
      <c r="N22" s="44"/>
      <c r="O22" s="44"/>
      <c r="P22" s="44"/>
      <c r="Q22" s="44"/>
      <c r="R22" s="44"/>
      <c r="S22" s="44"/>
    </row>
    <row r="23" spans="2:19" ht="14.5" thickBot="1" x14ac:dyDescent="0.35">
      <c r="B23" s="18" t="s">
        <v>16</v>
      </c>
      <c r="C23" s="19">
        <f>3.1415926*C12*C16+C22+3.1415926*(C3-C7*2-C8)*C18</f>
        <v>3640.7575315374729</v>
      </c>
      <c r="D23" s="25" t="s">
        <v>11</v>
      </c>
      <c r="E23" s="20" t="s">
        <v>32</v>
      </c>
      <c r="I23" s="44"/>
      <c r="J23" s="44" t="s">
        <v>59</v>
      </c>
      <c r="K23" s="44"/>
      <c r="L23" s="44"/>
      <c r="M23" s="44"/>
      <c r="N23" s="44"/>
      <c r="O23" s="44"/>
      <c r="P23" s="44"/>
      <c r="Q23" s="44"/>
      <c r="R23" s="44"/>
      <c r="S23" s="44"/>
    </row>
    <row r="25" spans="2:19" x14ac:dyDescent="0.3">
      <c r="B25" s="1" t="s">
        <v>18</v>
      </c>
      <c r="C25" t="s">
        <v>50</v>
      </c>
    </row>
    <row r="26" spans="2:19" x14ac:dyDescent="0.3">
      <c r="C26" t="s">
        <v>56</v>
      </c>
    </row>
    <row r="27" spans="2:19" x14ac:dyDescent="0.3">
      <c r="C27" t="s">
        <v>51</v>
      </c>
    </row>
    <row r="28" spans="2:19" x14ac:dyDescent="0.3">
      <c r="C28" t="s">
        <v>52</v>
      </c>
    </row>
  </sheetData>
  <sheetProtection algorithmName="SHA-512" hashValue="2Ap9hriVZ5Y1vgFclYBDTMUISCaHxmz9MKiAAvgxK2yQZlyL0uFwxqF/dXtwM5TTxr7sXnxVeoc+VIhxxg1nJQ==" saltValue="D3bGZ9S8dGB+rwBxrqTKQg==" spinCount="100000" sheet="1" objects="1" scenarios="1"/>
  <protectedRanges>
    <protectedRange sqref="C2:E2 C7 C8 C12:C18" name="区域1"/>
  </protectedRanges>
  <phoneticPr fontId="1" type="noConversion"/>
  <conditionalFormatting sqref="B3:C4">
    <cfRule type="duplicateValues" dxfId="7" priority="9"/>
  </conditionalFormatting>
  <conditionalFormatting sqref="B7:B8">
    <cfRule type="duplicateValues" dxfId="6" priority="8"/>
  </conditionalFormatting>
  <conditionalFormatting sqref="B21:B23 B15 B25">
    <cfRule type="duplicateValues" dxfId="5" priority="6"/>
  </conditionalFormatting>
  <conditionalFormatting sqref="B9:B10">
    <cfRule type="duplicateValues" dxfId="4" priority="5"/>
  </conditionalFormatting>
  <conditionalFormatting sqref="B12:B13">
    <cfRule type="duplicateValues" dxfId="3" priority="4"/>
  </conditionalFormatting>
  <conditionalFormatting sqref="B14">
    <cfRule type="duplicateValues" dxfId="2" priority="3"/>
  </conditionalFormatting>
  <conditionalFormatting sqref="B16">
    <cfRule type="duplicateValues" dxfId="1" priority="2"/>
  </conditionalFormatting>
  <conditionalFormatting sqref="B17:B18">
    <cfRule type="duplicateValues" dxfId="0" priority="1"/>
  </conditionalFormatting>
  <dataValidations count="1">
    <dataValidation type="list" allowBlank="1" showInputMessage="1" showErrorMessage="1" sqref="C2">
      <formula1>$G$3:$G$15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圆柱电池极片长度估算器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2024-01-14T17:49:13Z</dcterms:modified>
</cp:coreProperties>
</file>